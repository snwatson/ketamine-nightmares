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6.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drawings/drawing7.xml" ContentType="application/vnd.openxmlformats-officedocument.drawing+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drawings/drawing8.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9.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drawings/drawing10.xml" ContentType="application/vnd.openxmlformats-officedocument.drawing+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drawings/drawing11.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drawings/drawing12.xml" ContentType="application/vnd.openxmlformats-officedocument.drawing+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drawings/drawing13.xml" ContentType="application/vnd.openxmlformats-officedocument.drawing+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14.xml" ContentType="application/vnd.openxmlformats-officedocument.drawing+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drawings/drawing15.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drawings/drawing16.xml" ContentType="application/vnd.openxmlformats-officedocument.drawing+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drawings/drawing17.xml" ContentType="application/vnd.openxmlformats-officedocument.drawing+xml"/>
  <Override PartName="/xl/ctrlProps/ctrlProp270.xml" ContentType="application/vnd.ms-excel.controlproperties+xml"/>
  <Override PartName="/xl/ctrlProps/ctrlProp271.xml" ContentType="application/vnd.ms-excel.controlproperties+xml"/>
  <Override PartName="/xl/drawings/drawing18.xml" ContentType="application/vnd.openxmlformats-officedocument.drawing+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drawings/drawing19.xml" ContentType="application/vnd.openxmlformats-officedocument.drawing+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drawings/drawing20.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drawings/drawing21.xml" ContentType="application/vnd.openxmlformats-officedocument.drawing+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0" codeName="{B1BEFC71-4687-E4F5-767E-874F2C426654}"/>
  <workbookPr codeName="ThisWorkbook" defaultThemeVersion="166925"/>
  <mc:AlternateContent xmlns:mc="http://schemas.openxmlformats.org/markup-compatibility/2006">
    <mc:Choice Requires="x15">
      <x15ac:absPath xmlns:x15ac="http://schemas.microsoft.com/office/spreadsheetml/2010/11/ac" url="/Users/Badman/Library/Mobile Documents/com~apple~CloudDocs/Anaesthetics/Final Exam/Study Planning/Master Spreadsheets/"/>
    </mc:Choice>
  </mc:AlternateContent>
  <xr:revisionPtr revIDLastSave="0" documentId="13_ncr:1_{AF71BFA3-AE89-7443-B98F-D0F5ABADF1BE}" xr6:coauthVersionLast="45" xr6:coauthVersionMax="45" xr10:uidLastSave="{00000000-0000-0000-0000-000000000000}"/>
  <bookViews>
    <workbookView xWindow="600" yWindow="460" windowWidth="41120" windowHeight="24760" activeTab="2" xr2:uid="{80D2AAC2-7890-0A4D-B458-323B571F0F8D}"/>
  </bookViews>
  <sheets>
    <sheet name="Progress" sheetId="9" r:id="rId1"/>
    <sheet name="Airway Mx" sheetId="1" r:id="rId2"/>
    <sheet name="GA + Sedation" sheetId="2" r:id="rId3"/>
    <sheet name="Pain" sheetId="3" r:id="rId4"/>
    <sheet name="Periop Med" sheetId="4" r:id="rId5"/>
    <sheet name="Regional + LA" sheetId="5" r:id="rId6"/>
    <sheet name="Resus, Trauma and Crisis Mx" sheetId="6" r:id="rId7"/>
    <sheet name="Safety + Quality" sheetId="7" r:id="rId8"/>
    <sheet name="Roles in Practice" sheetId="10" r:id="rId9"/>
    <sheet name="Cardiac " sheetId="11" r:id="rId10"/>
    <sheet name="Gsurg+Uro+Gyn+Endo" sheetId="12" r:id="rId11"/>
    <sheet name="ENT+MF+Dent+ECT" sheetId="13" r:id="rId12"/>
    <sheet name="ICU" sheetId="14" r:id="rId13"/>
    <sheet name="NSurg+NRad" sheetId="15" r:id="rId14"/>
    <sheet name="OBS" sheetId="16" r:id="rId15"/>
    <sheet name="OPHTHAL" sheetId="17" r:id="rId16"/>
    <sheet name="ORTHO" sheetId="18" r:id="rId17"/>
    <sheet name="PAEDS" sheetId="19" r:id="rId18"/>
    <sheet name="Plastics+Burns" sheetId="20" r:id="rId19"/>
    <sheet name="Thoracics" sheetId="21" r:id="rId20"/>
    <sheet name="VASC+IntRad" sheetId="22" r:id="rId21"/>
    <sheet name="Professional documents" sheetId="8" r:id="rId22"/>
  </sheets>
  <definedNames>
    <definedName name="_xlnm._FilterDatabase" localSheetId="0" hidden="1">Progress!$A$1:$E$1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7" i="6" l="1"/>
  <c r="B15" i="22" l="1"/>
  <c r="B21" i="9" s="1"/>
  <c r="B14" i="22"/>
  <c r="C21" i="9" s="1"/>
  <c r="B16" i="21"/>
  <c r="B20" i="9" s="1"/>
  <c r="B15" i="21"/>
  <c r="C20" i="9" s="1"/>
  <c r="B16" i="22" l="1"/>
  <c r="D21" i="9" s="1"/>
  <c r="B17" i="21"/>
  <c r="D20" i="9" s="1"/>
  <c r="B9" i="20"/>
  <c r="B19" i="9" s="1"/>
  <c r="B8" i="20"/>
  <c r="C19" i="9" s="1"/>
  <c r="B10" i="20" l="1"/>
  <c r="D19" i="9" s="1"/>
  <c r="B32" i="19"/>
  <c r="B18" i="9" s="1"/>
  <c r="B31" i="19"/>
  <c r="C18" i="9" s="1"/>
  <c r="B11" i="18"/>
  <c r="B17" i="9" s="1"/>
  <c r="B10" i="18"/>
  <c r="C17" i="9" s="1"/>
  <c r="B12" i="17"/>
  <c r="B16" i="9" s="1"/>
  <c r="B11" i="17"/>
  <c r="C16" i="9" s="1"/>
  <c r="B25" i="16"/>
  <c r="B15" i="9" s="1"/>
  <c r="B24" i="16"/>
  <c r="B16" i="15"/>
  <c r="B14" i="9" s="1"/>
  <c r="B15" i="15"/>
  <c r="C14" i="9" s="1"/>
  <c r="B25" i="14"/>
  <c r="B13" i="9" s="1"/>
  <c r="B24" i="14"/>
  <c r="C13" i="9" s="1"/>
  <c r="B13" i="17" l="1"/>
  <c r="D16" i="9" s="1"/>
  <c r="B26" i="16"/>
  <c r="D15" i="9" s="1"/>
  <c r="B33" i="19"/>
  <c r="D18" i="9" s="1"/>
  <c r="B17" i="15"/>
  <c r="D14" i="9" s="1"/>
  <c r="C15" i="9"/>
  <c r="B12" i="18"/>
  <c r="D17" i="9" s="1"/>
  <c r="B26" i="14"/>
  <c r="D13" i="9" s="1"/>
  <c r="B13" i="13"/>
  <c r="B12" i="9" s="1"/>
  <c r="B12" i="13"/>
  <c r="C12" i="9" s="1"/>
  <c r="B11" i="12"/>
  <c r="B11" i="9" s="1"/>
  <c r="B10" i="12"/>
  <c r="C11" i="9" s="1"/>
  <c r="B20" i="11"/>
  <c r="B10" i="9" s="1"/>
  <c r="B19" i="11"/>
  <c r="C10" i="9" s="1"/>
  <c r="B14" i="13" l="1"/>
  <c r="D12" i="9" s="1"/>
  <c r="B12" i="12"/>
  <c r="D11" i="9" s="1"/>
  <c r="B21" i="11"/>
  <c r="D10" i="9" s="1"/>
  <c r="B20" i="10"/>
  <c r="B9" i="9" s="1"/>
  <c r="B19" i="10"/>
  <c r="C9" i="9" s="1"/>
  <c r="B28" i="6"/>
  <c r="B7" i="9" s="1"/>
  <c r="C7" i="9"/>
  <c r="B22" i="5"/>
  <c r="B6" i="9" s="1"/>
  <c r="B21" i="5"/>
  <c r="C6" i="9" s="1"/>
  <c r="B90" i="4"/>
  <c r="B5" i="9" s="1"/>
  <c r="B89" i="4"/>
  <c r="C5" i="9" s="1"/>
  <c r="B21" i="10" l="1"/>
  <c r="D9" i="9" s="1"/>
  <c r="B29" i="6"/>
  <c r="D7" i="9" s="1"/>
  <c r="B23" i="5"/>
  <c r="D6" i="9" s="1"/>
  <c r="B91" i="4"/>
  <c r="D5" i="9" s="1"/>
  <c r="B23" i="3"/>
  <c r="B4" i="9" s="1"/>
  <c r="B22" i="3"/>
  <c r="B24" i="3" l="1"/>
  <c r="D4" i="9" s="1"/>
  <c r="C4" i="9"/>
  <c r="B29" i="2"/>
  <c r="B3" i="9" s="1"/>
  <c r="B28" i="2"/>
  <c r="C3" i="9" s="1"/>
  <c r="B28" i="1"/>
  <c r="B2" i="9" s="1"/>
  <c r="B27" i="1"/>
  <c r="C2" i="9" s="1"/>
  <c r="B44" i="7"/>
  <c r="B8" i="9" s="1"/>
  <c r="B43" i="7"/>
  <c r="C8" i="9" s="1"/>
  <c r="E2" i="9" l="1"/>
  <c r="E4" i="9"/>
  <c r="C22" i="9"/>
  <c r="E8" i="9" s="1"/>
  <c r="B22" i="9"/>
  <c r="B30" i="2"/>
  <c r="D3" i="9" s="1"/>
  <c r="B29" i="1"/>
  <c r="D2" i="9" s="1"/>
  <c r="B45" i="7"/>
  <c r="D8" i="9" s="1"/>
  <c r="E19" i="9" l="1"/>
  <c r="E16" i="9"/>
  <c r="E17" i="9"/>
  <c r="E10" i="9"/>
  <c r="E21" i="9"/>
  <c r="E15" i="9"/>
  <c r="E20" i="9"/>
  <c r="E12" i="9"/>
  <c r="E11" i="9"/>
  <c r="E18" i="9"/>
  <c r="E6" i="9"/>
  <c r="E5" i="9"/>
  <c r="E7" i="9"/>
  <c r="E9" i="9"/>
  <c r="E3" i="9"/>
  <c r="E13" i="9"/>
  <c r="E14" i="9"/>
  <c r="D22" i="9"/>
</calcChain>
</file>

<file path=xl/sharedStrings.xml><?xml version="1.0" encoding="utf-8"?>
<sst xmlns="http://schemas.openxmlformats.org/spreadsheetml/2006/main" count="870" uniqueCount="768">
  <si>
    <t>Integrated Pharmacology</t>
  </si>
  <si>
    <t>Vascular Access</t>
  </si>
  <si>
    <t>Fluid Therapy</t>
  </si>
  <si>
    <t>Clinical Pharmacology</t>
  </si>
  <si>
    <t>Pain in Clincal Scenarios</t>
  </si>
  <si>
    <t>Preoperative</t>
  </si>
  <si>
    <t>Intraoperative</t>
  </si>
  <si>
    <t>Postoperative</t>
  </si>
  <si>
    <t>Central Neuraxial Blockade</t>
  </si>
  <si>
    <t>General Regional Principles</t>
  </si>
  <si>
    <t>Complications</t>
  </si>
  <si>
    <t>Specific Regional Techniques</t>
  </si>
  <si>
    <t>Resuscitation</t>
  </si>
  <si>
    <t>Trauma</t>
  </si>
  <si>
    <t>Crisis Management</t>
  </si>
  <si>
    <t>Shock</t>
  </si>
  <si>
    <t>Acute Respiratory Failure</t>
  </si>
  <si>
    <t xml:space="preserve">Environmental and equipment crises </t>
  </si>
  <si>
    <t>Positioning</t>
  </si>
  <si>
    <t>Scientific Enquiry</t>
  </si>
  <si>
    <t>Domain</t>
  </si>
  <si>
    <t>Professional Document</t>
  </si>
  <si>
    <t>Safety + Quality</t>
  </si>
  <si>
    <t xml:space="preserve">PS55 Recommendations on Minimum Facilities for Safe Administration of Anaesthesia in Operating Suites and Other Anaesthetising Locations </t>
  </si>
  <si>
    <t xml:space="preserve">PS31: Recommendations on Checking Anaesthesia Delivery Systems </t>
  </si>
  <si>
    <t xml:space="preserve">PS18: Guidelines on Monitoring During Anaesthesia (PILOT) </t>
  </si>
  <si>
    <t>PS51: Guidelines for the Safe Administration of Injectable Drugs in Anaesthesia</t>
  </si>
  <si>
    <t xml:space="preserve">PS53 Statement on the Handover Responsibilities of the Anaesthetist </t>
  </si>
  <si>
    <t xml:space="preserve">PS52: Guidelines for Transport of Critically ill Patients </t>
  </si>
  <si>
    <t>WHO surgical safety checklist Australian and New Zealand edition</t>
  </si>
  <si>
    <t>PS28 Guidelines on Infection Control in Anaesthesia</t>
  </si>
  <si>
    <t>PS4: Recommendations for the Post-Anaesthesia Recovery Room</t>
  </si>
  <si>
    <t>PS 15 Recommendations for the Perioperative Care of Patients Selected for Day Care Surgery.</t>
  </si>
  <si>
    <t>PS58 Guidelines on Quality Assurance in Anaesthesia</t>
  </si>
  <si>
    <t>PS54 Statement on the Minimum Safety Requirements for Anaesthetic Machines and Workstations for Clinical Practice</t>
  </si>
  <si>
    <t>PS8 Guidelines on the Assistant for the Anaesthetist</t>
  </si>
  <si>
    <t>PS60 Guidelines on the Perioperative Management of Patients with Suspected or Proven Hypersensitivity to Chlorhexidine</t>
  </si>
  <si>
    <t>Completed</t>
  </si>
  <si>
    <t>Percent</t>
  </si>
  <si>
    <t xml:space="preserve">AAGBI Safety Guideline Management of Severe Local Anaesthetic Toxicity </t>
  </si>
  <si>
    <t>Regional + LA</t>
  </si>
  <si>
    <t>PS38 Statement Relating to the Relief of Pain and Suffering and End of Life Decisions</t>
  </si>
  <si>
    <t>Pain</t>
  </si>
  <si>
    <t>PS45 Statement on Patients' Rights to Pain Management and Associated Responsibilities</t>
  </si>
  <si>
    <t>GA + Sedation</t>
  </si>
  <si>
    <t>PS9 - Guidelines on Sedation and/or Analgesia for Diagnostic and Interventional Medical, Dental or Surgical Procedures and the ANZCA safe procedural sedation competencies</t>
  </si>
  <si>
    <t>ANZICS: Central Line Insertion and Maintenance Guideline 2012</t>
  </si>
  <si>
    <t>PS56 - Guidelines on Equipment to Manage a Difficult Airway During Anaesthesia</t>
  </si>
  <si>
    <t>Airway Mx</t>
  </si>
  <si>
    <t>Periop Med</t>
  </si>
  <si>
    <t>Resus, Trauma + Crisis Mx</t>
  </si>
  <si>
    <t>No. Completed</t>
  </si>
  <si>
    <t>% Complete</t>
  </si>
  <si>
    <t>Safety and quality in anaesthetic practice</t>
  </si>
  <si>
    <t>Airway Management</t>
  </si>
  <si>
    <t>Airway Assessment and Planning</t>
  </si>
  <si>
    <t>Post intubation Care and Emergencies</t>
  </si>
  <si>
    <t>Airway Equipment and Adjuncts</t>
  </si>
  <si>
    <t>Extubation</t>
  </si>
  <si>
    <t>General Anaesthesia and Sedation</t>
  </si>
  <si>
    <t>Assessment</t>
  </si>
  <si>
    <t>Management</t>
  </si>
  <si>
    <t>Pain Medicine</t>
  </si>
  <si>
    <t>Chronic Pain, Neuropathic Pain, Addiction and Psychosocial factors</t>
  </si>
  <si>
    <t>Perioperative Medicine</t>
  </si>
  <si>
    <t>Medical Conditions, Periooperative Risk and Anaesthetic Management</t>
  </si>
  <si>
    <t>Preoperative Assessment</t>
  </si>
  <si>
    <t>Harm/ Risk Minimisation and Enhanced Recovery</t>
  </si>
  <si>
    <t>Regional and Local Anaesthesia</t>
  </si>
  <si>
    <t>Resuscitation, Trauma and Crisis Management</t>
  </si>
  <si>
    <t xml:space="preserve">Acute Neurological Deterioration </t>
  </si>
  <si>
    <t xml:space="preserve">Metabolic and Electrolyte Disturbances </t>
  </si>
  <si>
    <t>Overall</t>
  </si>
  <si>
    <t>Medical Expert</t>
  </si>
  <si>
    <t>Communicator</t>
  </si>
  <si>
    <t>Collaborator</t>
  </si>
  <si>
    <t>Leader and Manager</t>
  </si>
  <si>
    <t>Health Advocate</t>
  </si>
  <si>
    <t>Roles in Practice</t>
  </si>
  <si>
    <t>PS59 Statement on Roles in Anaesthesia and Perioperative Care</t>
  </si>
  <si>
    <t>PS64 Statement on environmental sustainability in anaesthesia and pain medicine practice</t>
  </si>
  <si>
    <t>Scholar</t>
  </si>
  <si>
    <t>Professional</t>
  </si>
  <si>
    <t>ANZCA Social Media Policy</t>
  </si>
  <si>
    <t xml:space="preserve">PS62 Statement on Cultural competence). </t>
  </si>
  <si>
    <t>PS26 Guidelines on Consent for Anaesthesia or Sedation</t>
  </si>
  <si>
    <t>‘Supporting Anaesthetists' Professionalism and Performance: A guide for clinicians’, the ANZCA ‘Code of Professional Conduct’ and ANZCA
 professional documents</t>
  </si>
  <si>
    <t>PS 02 Statement on Credentialling and defining the Scope of Clinical Practice in Anaesthesia</t>
  </si>
  <si>
    <t>RD3 Depression and Anxiety, RD13 Impairment in a Colleague and RD20 Substance Abuse</t>
  </si>
  <si>
    <t>Cardiac Surgery and Interventional Cardiology</t>
  </si>
  <si>
    <t>Cardiac Surgery and Cardipulmonary Bypass</t>
  </si>
  <si>
    <t>Intra-operative</t>
  </si>
  <si>
    <t>Defibrillation and Pacing</t>
  </si>
  <si>
    <t>Cardiopulmonary Bypass and ECMO</t>
  </si>
  <si>
    <t>Echocardiography</t>
  </si>
  <si>
    <t xml:space="preserve">Interventional cardiology </t>
  </si>
  <si>
    <t>Cardiac</t>
  </si>
  <si>
    <t>General Surgical, Urological, Gynaecological and Endoscopic Procedures</t>
  </si>
  <si>
    <t>Surgery and Endoscopy</t>
  </si>
  <si>
    <t>Gsurg+Uro+Gyn+Endo</t>
  </si>
  <si>
    <t>Head and Neck and Ear Nose and Throat</t>
  </si>
  <si>
    <t>Head and neck, Ear, Nose and Throat, Dental Surgery and Electro-convulsive Therapy</t>
  </si>
  <si>
    <t xml:space="preserve">Dental/maxillofacial surgery </t>
  </si>
  <si>
    <t>Electro-convulsive Therapy</t>
  </si>
  <si>
    <t>ENT+MF+Dent+ECT</t>
  </si>
  <si>
    <t>NIV and Invasive Ventilation</t>
  </si>
  <si>
    <t>Renal and Fluid and Electrolyte Disorders</t>
  </si>
  <si>
    <t>Metabolic and Endocrine Disorders</t>
  </si>
  <si>
    <t>Neurological and neuromuscular disorders</t>
  </si>
  <si>
    <t>Gastrointestinal disorders</t>
  </si>
  <si>
    <t>Haematological and oncological disorders</t>
  </si>
  <si>
    <t>Environmental injuries</t>
  </si>
  <si>
    <t>Intensive care of the obstetric patient (also refer to the Obstetric anaesthesia and analgesia specialised study unit)</t>
  </si>
  <si>
    <t>Intensive Care</t>
  </si>
  <si>
    <t/>
  </si>
  <si>
    <t>General Care of the Patient in Intensive Care</t>
  </si>
  <si>
    <t>Sepsis and Multi-Organ Dysfunction</t>
  </si>
  <si>
    <t>Acute Circulatory Failure and Cardiovascular Disorders (also refer to the Resuscitation, trauma and crisis management clinical fundamental)</t>
  </si>
  <si>
    <t>Respiratory Failure and Intensive care of Respiratory Disorders (also refer to the Resuscitation, trauma and crisis management and Perioperative medicine clinical fundamentals)</t>
  </si>
  <si>
    <t>Disorders of Heart and Great Vessels</t>
  </si>
  <si>
    <t>ICU</t>
  </si>
  <si>
    <t>Anatomy</t>
  </si>
  <si>
    <t>Pathophysiology</t>
  </si>
  <si>
    <t xml:space="preserve">Pharmacology </t>
  </si>
  <si>
    <t xml:space="preserve">Monitoring </t>
  </si>
  <si>
    <t xml:space="preserve">Clinical neuroanaesthesia </t>
  </si>
  <si>
    <t>Neurosurgery and Neuroradiology</t>
  </si>
  <si>
    <t>NSurg+Nrad</t>
  </si>
  <si>
    <t>OBS</t>
  </si>
  <si>
    <t>RANZCOG College Statement C-Obs 14 Categorisation of urgency for caesarean section</t>
  </si>
  <si>
    <t xml:space="preserve"> </t>
  </si>
  <si>
    <t>Labour</t>
  </si>
  <si>
    <t>LSCS</t>
  </si>
  <si>
    <t>Comorbidites and Obstetric Conditions</t>
  </si>
  <si>
    <t>Obstetric Complications and Emergencies</t>
  </si>
  <si>
    <t>Obstetric Anaesthesia and Analgesia</t>
  </si>
  <si>
    <t>Regional</t>
  </si>
  <si>
    <t>Anaeshtetic Management</t>
  </si>
  <si>
    <t>Emergencies and Complications</t>
  </si>
  <si>
    <t>Ophthalmic Procedures</t>
  </si>
  <si>
    <t>OPHTHAL</t>
  </si>
  <si>
    <t>Orthopaedic Trauma</t>
  </si>
  <si>
    <t>Elective and Non-Traumatic Emergency Orthopaedic Surgery</t>
  </si>
  <si>
    <t>Anaesthetic Management</t>
  </si>
  <si>
    <t>Orthopaedic Surgery</t>
  </si>
  <si>
    <t>ORTHO</t>
  </si>
  <si>
    <t>Perioperaitve Medicine</t>
  </si>
  <si>
    <t xml:space="preserve">Clinical and Applied Pharmacology </t>
  </si>
  <si>
    <t xml:space="preserve">Physiology </t>
  </si>
  <si>
    <t>Fluid Therapy and Monitoring Skills</t>
  </si>
  <si>
    <t>Anaesthesia for Specific Procedures</t>
  </si>
  <si>
    <t>Regional Anaesthesia</t>
  </si>
  <si>
    <t>Safety and Quality</t>
  </si>
  <si>
    <t>PS29 Statement on Anaesthesia Care of Children in Healthcare Facilities Without Dedicated Paediatric Facilities</t>
  </si>
  <si>
    <t>PAEDS</t>
  </si>
  <si>
    <t>Paediatric Anaesthesia</t>
  </si>
  <si>
    <t xml:space="preserve">Resuscitation, Trauma and Crisis Management </t>
  </si>
  <si>
    <t>Burns</t>
  </si>
  <si>
    <t xml:space="preserve">Plastic and reconstructive surgery </t>
  </si>
  <si>
    <t>Plastic, Reconstructive and Burns surgery</t>
  </si>
  <si>
    <t>Plastics + Burns</t>
  </si>
  <si>
    <t xml:space="preserve">Preoperative assessment </t>
  </si>
  <si>
    <t xml:space="preserve">Anaesthesia for thoracic surgery </t>
  </si>
  <si>
    <t xml:space="preserve">Thoracic trauma </t>
  </si>
  <si>
    <t>Thoracic Surgery</t>
  </si>
  <si>
    <t>Thoracics</t>
  </si>
  <si>
    <t xml:space="preserve">Anaesthesia for vascular surgery </t>
  </si>
  <si>
    <t>Carotid Endarterectomy</t>
  </si>
  <si>
    <t xml:space="preserve">Anaesthesia for Interventional Vascular Procedures </t>
  </si>
  <si>
    <t>Vascular Surgery and Interventional Radiology</t>
  </si>
  <si>
    <t>VASC+IntRad</t>
  </si>
  <si>
    <t>2019.2.1</t>
  </si>
  <si>
    <t>Describe the rationale for the use of deep hypothermic circulatory arrest and outline the pathophysiological consequences of this technique (44.3%)</t>
  </si>
  <si>
    <t>2019.2.2</t>
  </si>
  <si>
    <t>Evaluate the options for managing a confirmed postdural puncture headache in an obstetric patient (78.6%)</t>
  </si>
  <si>
    <t>2019.2.3</t>
  </si>
  <si>
    <t>2019.2.4</t>
  </si>
  <si>
    <t>Describe the requirements for establishing an anaesthetic service for a neurosurgical theatre with a magnetic resonance imaging scanner (67.2%)</t>
  </si>
  <si>
    <t>A patient dies soon after induction of anaesthesia. As a senior clinician you are asked to arrange a debriefing. Outline the considerations.</t>
  </si>
  <si>
    <t>2019.2.5</t>
  </si>
  <si>
    <t>2019.2.6</t>
  </si>
  <si>
    <t>Discuss the advantages and disadvantages of non-invasive ventilation methods in the intensive care unit (22.9%)</t>
  </si>
  <si>
    <t>2019.2.7</t>
  </si>
  <si>
    <t>Describe the anatomy relevant to siting an epidural catheter for postoperative analgesia following open abdominal surgery. (50%) Outline the limitations and complications of providing epidural analgesia for this type of surgery. (50%) - (70.2%)</t>
  </si>
  <si>
    <t>2019.2.8</t>
  </si>
  <si>
    <t>Your patient is midway through a laparoscopic cholecystectomy. You smell smoke and can see flames in the room adjacent to your theatre. Describe your management of this situation. (39.7%)</t>
  </si>
  <si>
    <t>2019.2.9</t>
  </si>
  <si>
    <t>Describe the role of the anaesthetist in minimising surgical site infection (45.8%)</t>
  </si>
  <si>
    <t>2019.2.10</t>
  </si>
  <si>
    <t>2019.2.11</t>
  </si>
  <si>
    <t>List the advantages and disadvantages of opioid-free approaches for laparoscopic sleeve gastrectomy. (50%) Justify your choice of opioid-free technique for this procedure. (50%) - (62.6%)</t>
  </si>
  <si>
    <t>2019.2.12</t>
  </si>
  <si>
    <t>2019.2.13</t>
  </si>
  <si>
    <t>2019.2.14</t>
  </si>
  <si>
    <t>Compare and contrast first-generation and second-generation laryngeal mask airways. (55%)</t>
  </si>
  <si>
    <t>A 16-year-old girl has failed to wake from anaesthesia following posterior instrumentation for severe idiopathic scoliosis. Discuss the potential causes and management of her failure to wake. (61.8%)</t>
  </si>
  <si>
    <t>Pass rate</t>
  </si>
  <si>
    <t>Pass Rate</t>
  </si>
  <si>
    <t xml:space="preserve">What are the issues associated with jet ventilation? </t>
  </si>
  <si>
    <t>2019.1.1</t>
  </si>
  <si>
    <t>2019.1.2</t>
  </si>
  <si>
    <t xml:space="preserve">List the causes of increased perioperative morbidity and mortality in surgical patients with type 2 diabetes mellitus. (30%) Outline the principles of perioperative management of these patients (70%) </t>
  </si>
  <si>
    <t>2019.1.3</t>
  </si>
  <si>
    <t>A 9-year-old girl with cerebral palsy is scheduled to undergo bilateral femoral varus derotation osteotomy and adductor lengthening. Outline the challenges of providing effective postoperative analgesia for her surgery and discuss the analgesia options available.</t>
  </si>
  <si>
    <t>2019.1.4</t>
  </si>
  <si>
    <t xml:space="preserve">A 61-year-old man presents with a large haematemesis. He has known alcoholic liver disease and sedation is requested for an urgent gastroscopy. Outline your peri-procedural concerns </t>
  </si>
  <si>
    <t>2019.1.5</t>
  </si>
  <si>
    <t>pH 7.01, PCO2 50mmHg, PO291mmHg, SaO2 91%, HCO3 12.2 mmol/L. Interpret this arterial blood gas (ABG). Justify any additional information you would require to complete your interpretation. 
Describe a clinical situation which may explain this ABG</t>
  </si>
  <si>
    <t>2019.1.7</t>
  </si>
  <si>
    <t xml:space="preserve">Describe your responsibilities as the anaesthetist before you leave your patient in the post anaesthesia care unit (PACU). (50%) Your patient has been in the PACU for an hour. The nurse asks you to change the discharge criteria so the patient can be discharged to the ward. Discuss your decision making process following this request. (50%) </t>
  </si>
  <si>
    <t>A patient with a previous spinal cord injury presents for ureteric stenting. Discuss the pathophysiology of autonomic dysreflexia. (50%) Describe the intra-operative manifestations and subsequent management of autonomic dysreflexia. (50%)</t>
  </si>
  <si>
    <t>2019.1.8</t>
  </si>
  <si>
    <t>List the factors associated with increased mortality following rib fractures. (30%) Describe a comprehensive rib fracture management plan. (70%)</t>
  </si>
  <si>
    <t>2019.1.9</t>
  </si>
  <si>
    <t>These are the blood results of a 65-year-old man scheduled for a revision total hip replacement. Interpret these results (30%) and how would you manage this patient pre-operaitvely (70%)
Hb 120 g/l MCV 78 fL WCC 5.5 x 103/l Plt 250 x 109/l
Na 136 mmol/l K 4.0 mmol/l Urea 5.5 mmol/l Cr 100 mmol/
Iron 8 Transferrin 3.2 Transferrin saturation12 Ferritin40 CRP 8</t>
  </si>
  <si>
    <t>2019.1.10</t>
  </si>
  <si>
    <t xml:space="preserve">Define frailty and discuss the role of prehabilitation for patients with frailty. </t>
  </si>
  <si>
    <t>2019.1.11</t>
  </si>
  <si>
    <t xml:space="preserve">A 30-year-old woman who is 28 weeks pregnant has been referred to your tertiary high-risk obstetric clinic. She has complex cyanotic heart disease and now functions with a Fontan circulation. How would you stratify her cardiovascular risk? (30%)
What are the relevant anaesthetic issues for this patient? (70%) </t>
  </si>
  <si>
    <t>2019.1.12</t>
  </si>
  <si>
    <t>Outline your approach to the perioperative management of a patient who gives a strong family history of von Willebrand disease.</t>
  </si>
  <si>
    <t>2019.1.13</t>
  </si>
  <si>
    <t xml:space="preserve">Describe the principles that are important in making clinical research ethical. </t>
  </si>
  <si>
    <t>2019.1.14</t>
  </si>
  <si>
    <t>Discuss your considerations when anaesthetising a patient for functional endoscopic sinus surgery.</t>
  </si>
  <si>
    <t>2019.1.15</t>
  </si>
  <si>
    <t xml:space="preserve">Outline the mechanisms that may contribute to visual loss associated with spinal surgery in the prone position. (50%) Describe strategies that may reduce the risk of visual loss in this situation. (50%) </t>
  </si>
  <si>
    <t>2018.2.1</t>
  </si>
  <si>
    <t xml:space="preserve">A 30-year-old woman requires a laparoscopic appendicectomy. She reports a “severe allergic reaction” during a laparoscopy five years ago. Outline your strategy for managing this case, given her history. </t>
  </si>
  <si>
    <t>2018.1.2</t>
  </si>
  <si>
    <t xml:space="preserve">One of your anaesthetic colleagues is prescribing fentanyl patches as discharge medication for patients following total hip joint replacement. Evaluate this practice. </t>
  </si>
  <si>
    <t>2018.2.3</t>
  </si>
  <si>
    <t xml:space="preserve">A 50-year-old man with a base of tongue cancer is scheduled for elective tracheostomy immediately followed by tumour resection. Discuss the issues involved with his airway management. </t>
  </si>
  <si>
    <t>2018.2.4</t>
  </si>
  <si>
    <t>2018.2.5</t>
  </si>
  <si>
    <t xml:space="preserve">Describe (and/or draw) the anatomy in the optimal ultrasound view when performing a supraclavicular brachial plexus block. (50%). List the possible complications and limitations of this block. (50%) </t>
  </si>
  <si>
    <t xml:space="preserve">A patient scheduled for trans-sphenoidal pituitary surgery is noticed to have greater than normal urine output. How would you determine if this patient has diabetes insipidus? (30%) How would you manage diabetes insipidus in the
 perioperative period? (70%) </t>
  </si>
  <si>
    <t>2018.2.6</t>
  </si>
  <si>
    <t xml:space="preserve">Justify your use of perioperative prophylactic antiemetics. </t>
  </si>
  <si>
    <t>2018.2.7</t>
  </si>
  <si>
    <t xml:space="preserve">Describe the process of intraoperative cell salvage. (50%) Discuss the indications and contraindications for intraoperative cell salvage. (50%) </t>
  </si>
  <si>
    <t>2019.2.15</t>
  </si>
  <si>
    <t xml:space="preserve">Discuss the non-technical skills required for management of an intraoperative crisis. </t>
  </si>
  <si>
    <t>2018.2.9</t>
  </si>
  <si>
    <t xml:space="preserve">Describe the pathophysiological effects associated with the use of a pneumatic limb tourniquet and how they can be minimised. </t>
  </si>
  <si>
    <t>2018.2.10</t>
  </si>
  <si>
    <t xml:space="preserve">Discuss your perioperative management of a patient with carcinoid syndrome presenting for small bowel resection. </t>
  </si>
  <si>
    <t>2018.2.11</t>
  </si>
  <si>
    <t xml:space="preserve">This is the standard 12-lead electrocardiogram (ECG) of a 76-year-old woman in the post- anaesthesia care unit following a total knee replacement. She has hypertension and type 2 diabetes, and her preoperative ECG showed sinus rhythm with a
 rate of 82 /minute. Interpret the ECG. Outline your initial management and develop a plan in the event of the rhythm disturbance persisting. </t>
  </si>
  <si>
    <t>2018.2.12</t>
  </si>
  <si>
    <t xml:space="preserve">Evaluate the merits of large multicentre randomised controlled trials compared with the merits of single-centre observational studies in guiding clinical practice. </t>
  </si>
  <si>
    <t>2018.2.13</t>
  </si>
  <si>
    <t xml:space="preserve">Describe the pathophysiology of hypertrophic cardiomyopathy and how this is affected by pregnancy, labour, and vaginal delivery. </t>
  </si>
  <si>
    <t>2018.2.14</t>
  </si>
  <si>
    <t xml:space="preserve">A 45-year-old woman with a large anterior mediastinal mass is scheduled for mediastinoscopy and biopsy. Discuss your preoperative assessment of this patient. </t>
  </si>
  <si>
    <t>2018.2.15</t>
  </si>
  <si>
    <t>2018.2.8</t>
  </si>
  <si>
    <t>2018.2.2</t>
  </si>
  <si>
    <t xml:space="preserve">Describe your assessment of a four-year-old child who has been rescued from a house fire </t>
  </si>
  <si>
    <t>2018.1.1</t>
  </si>
  <si>
    <t xml:space="preserve">How does a residual current device (RCD) work? (30%) Evaluate its usefulness to protect patients from injury. (70%) </t>
  </si>
  <si>
    <t xml:space="preserve">A 43-year-old man with Down Syndrome is booked for an inguinal hernia repair. Discuss the issues that are relevant in providing anaesthesia for this patient having this surgery. </t>
  </si>
  <si>
    <t>2018.1.3</t>
  </si>
  <si>
    <t xml:space="preserve">Describe the anatomy relevant to cannulation of the subclavian vein via the infraclavicular approach. </t>
  </si>
  <si>
    <t>2018.1.4</t>
  </si>
  <si>
    <t xml:space="preserve">You are developing an anaesthetic department policy for acute endovascular stroke intervention. Outline the issues to be considered in your policy. </t>
  </si>
  <si>
    <t>2018.1.5</t>
  </si>
  <si>
    <t>A 63-year-old patient presents for urgent cancer surgery three weeks following myocardial infarction. Discuss the risk assessment of this patient for this surgery. (50%) How would you optimise this patient for surgery? (50%)</t>
  </si>
  <si>
    <t>2018.1.6</t>
  </si>
  <si>
    <t xml:space="preserve">A 60-year-old man is anaesthetised for a rigid cystoscopy. You notice bile stained fluid in his classic laryngeal mask airway (LMA) during the procedure. Describe your management. </t>
  </si>
  <si>
    <t>2018.1.7</t>
  </si>
  <si>
    <t xml:space="preserve">You have rated a workplace based assessment for a trainee as unsatisfactory. The trainee has now written to the head of the department complaining that you have been bullying him. Define the following (50%) -Bullying-Feedback Outline your approach to this 
complaint. (50%) </t>
  </si>
  <si>
    <t>2018.1.8</t>
  </si>
  <si>
    <t xml:space="preserve">An 80-year-old man is admitted to the high dependency unit following laparotomy for relief of a large bowel obstruction. He has a urinary catheter in situ. Three hours later he remains oliguric. What are the potential causes of oliguria in this
 patient? (50%) How would you differentiate between these causes? (50%) </t>
  </si>
  <si>
    <t>2018.1.9</t>
  </si>
  <si>
    <t>Describe the physiological effects of a high-flow nasal cannula device (HFNC) e.g. OptiflowTM or AirvoTM. (50%) Justify its use in an adult endoscopy suite. (50%)</t>
  </si>
  <si>
    <t>2018.1.10</t>
  </si>
  <si>
    <t xml:space="preserve">Outline the factors influencing spread of intrathecal local anaesthetic. </t>
  </si>
  <si>
    <t>2018.1.11</t>
  </si>
  <si>
    <t xml:space="preserve">A 24-year-old with a breech presentation at 35 weeks gestation has severe preeclampsia and requires delivery by lower segment caesarean section. You witness her having a short self- limiting generalised seizure in the delivery suite. Outline the key points of her management prior to theatre. (50%) Describe the changes you would make to your usual general anaesthetic technique for her lower segment caesarean section. (50%) </t>
  </si>
  <si>
    <t>2018.1.12</t>
  </si>
  <si>
    <t xml:space="preserve">A 75-year-old patient presents for lower limb angioplasty and stenting for peripheral vascular disease. Discuss the challenges in providing anaesthesia for this patient. </t>
  </si>
  <si>
    <t>2018.1.13</t>
  </si>
  <si>
    <t xml:space="preserve">An elderly patient in the recovery unit is confused and agitated following surgery. Describe your management. </t>
  </si>
  <si>
    <t>2018.1.14</t>
  </si>
  <si>
    <t xml:space="preserve">Evaluate the use of intravenous lignocaine infusions for perioperative analgesia. </t>
  </si>
  <si>
    <t>2018.1.15</t>
  </si>
  <si>
    <t xml:space="preserve">A patient is anaesthetised for video-assisted thoracoscopic resection of the left upper lobe. At the completion of surgery, the double-lumen tube is in situ and the patient has persistent hypoxia. List the potential causes of hypoxia in this situation. (30%) 
How will you manage this? (70%) </t>
  </si>
  <si>
    <t>2017.2.1</t>
  </si>
  <si>
    <t xml:space="preserve">Discuss the significance of anticipated changes in blood pressure during anaesthesia and in the post anaesthesia care unit in a patient undergoing carotid endarterectomy. (50%) Outline strategies to manage these changes. (50%) </t>
  </si>
  <si>
    <t>2017.2.2</t>
  </si>
  <si>
    <t xml:space="preserve">A 55-year-old male with severe steroid-dependent rheumatoid arthritis requires spinal surgery in the prone position. Discuss your considerations for patient positioning for the procedure. </t>
  </si>
  <si>
    <t>2017.2.3</t>
  </si>
  <si>
    <t xml:space="preserve">A 44-year-old male is booked for debulking of a large intracranial tumour. Describe the physiological aims during this case. (50%) Justify your anaesthetic technique to achieve these aims. (50%) </t>
  </si>
  <si>
    <t>2017.2.4</t>
  </si>
  <si>
    <t xml:space="preserve">What are the considerations when anaesthetising a patient for a complex laparoscopic ultra-low colonic resection? </t>
  </si>
  <si>
    <t>2017.2.5</t>
  </si>
  <si>
    <t xml:space="preserve">Describe the indications for referral for an antenatal anaesthetic assessment. </t>
  </si>
  <si>
    <t>2017.2.6</t>
  </si>
  <si>
    <t>A patient in the post anaesthesia care unit is suspected of having residual neuromuscular blockade. List ways to assess this patient for the presence of residual neuromuscular blockade. (30%) Discuss methods to reduce the risk of residual neuromuscular blockade. (70%)</t>
  </si>
  <si>
    <t xml:space="preserve">Discuss the preoperative assessment for a patient who presents for thyroidectomy. </t>
  </si>
  <si>
    <t>2017.2.8</t>
  </si>
  <si>
    <t xml:space="preserve">A 50-year-old woman with systemic sclerosis (scleroderma) presents for laparoscopic appendicectomy. She is currently treated with folate supplements and weekly methotrexate. Describe how your anaesthetic plan is modified by the presence of 
scleroderma in this patient. </t>
  </si>
  <si>
    <t>2017.2.9</t>
  </si>
  <si>
    <t xml:space="preserve">Describe how the safety of anaesthetised patients undergoing surgery is ensured in the event of a power failure to the hospital. </t>
  </si>
  <si>
    <t>2017.2.10</t>
  </si>
  <si>
    <t xml:space="preserve">Describe the anatomy relevant to performing a caudal block in a two-year-old male. </t>
  </si>
  <si>
    <t>2017.2.11</t>
  </si>
  <si>
    <t>2017.2.12</t>
  </si>
  <si>
    <t xml:space="preserve">This table displays the pulmonary function test results for a 67-year-old male. Define the following: FEV1, FVC, VC and DLCO. (50%) Interpret these results and discuss this patient’s possible diagnoses. (50%)
</t>
  </si>
  <si>
    <t xml:space="preserve">Discuss your strategy for the management of coagulopathy in the multitrauma patient. </t>
  </si>
  <si>
    <t>2017.2.13</t>
  </si>
  <si>
    <t xml:space="preserve">Describe how you would determine the usefulness of a published paper for your own practice. </t>
  </si>
  <si>
    <t>2017.2.14</t>
  </si>
  <si>
    <t xml:space="preserve">Describe the features you require of a transport ventilator for a patient with severe ventilator-dependent acute respiratory distress syndrome. </t>
  </si>
  <si>
    <t>2017.2.15</t>
  </si>
  <si>
    <t xml:space="preserve">List the indications for hyperbaric oxygen therapy. (30%) Discuss the problems with providing this treatment. (70%) </t>
  </si>
  <si>
    <t>2017.1.1</t>
  </si>
  <si>
    <t xml:space="preserve">A 24-year-old female with cystic fibrosis is scheduled to undergo elective breast surgery. How does the presence of cystic fibrosis affect your perioperative management of this patient for this procedure? </t>
  </si>
  <si>
    <t>2017.1.2</t>
  </si>
  <si>
    <t>List the methods of analgesia that can be used for patients undergoing open liver resection surgery. (30%) Justify your perioperative pain management strategy. (70%)</t>
  </si>
  <si>
    <t>2017.1.3</t>
  </si>
  <si>
    <t>How do you determine if a patient with known obstructive sleep apnoea is suitable for day surgery?</t>
  </si>
  <si>
    <t>2017.1.4</t>
  </si>
  <si>
    <t xml:space="preserve">A 45-year-old man with insulin treated type 2 diabetes is undergoing a gastrectomy on the afternoon list. How will you manage his diabetes perioperatively? </t>
  </si>
  <si>
    <t>2017.1.5</t>
  </si>
  <si>
    <t xml:space="preserve">Describe the innervation of the foot relevant to an ankle block. </t>
  </si>
  <si>
    <t>2017.1.6</t>
  </si>
  <si>
    <t>Describe the factors that determine the maximum achievable rate of intravenous fluid administration. (50%)
Outline the issues associated with the use of rapid infusion devices. (50%)</t>
  </si>
  <si>
    <t>2017.1.7</t>
  </si>
  <si>
    <t xml:space="preserve">A 75-year-old lady scheduled for total knee replacement is currently using a fentanyl patch (75 μg/hour) for analgesia to manage her knee pain. Discuss how this influences your perioperative pain management. </t>
  </si>
  <si>
    <t>2017.1.8</t>
  </si>
  <si>
    <t xml:space="preserve">Outline the risk factors for, possible mechanisms of, and methods to prevent, postoperative ulnar neuropathy. </t>
  </si>
  <si>
    <t>2017.1.9</t>
  </si>
  <si>
    <t xml:space="preserve">Outline the advantages and disadvantages of using the paediatric circle system and the Jackson-Rees modification of Ayre’s T-piece (Mapleson F) for anaesthesia in a 15 kg child. </t>
  </si>
  <si>
    <t>2017.1.10</t>
  </si>
  <si>
    <t xml:space="preserve">A 60-year-old female patient with known hypertrophic cardiomyopathy requires semi- urgent surgery for a femoral fracture. Describe the perioperative haemodynamic goals and justify your anaesthetic technique. </t>
  </si>
  <si>
    <t>2017.1.11</t>
  </si>
  <si>
    <t>Outline the factors relevant to selection of a perioperative antibiotic prophylaxis regimen for a surgical patient. (50%) Discuss strategies to ensure appropriate implementation of antibiotic prophylaxis regimens. (50%)</t>
  </si>
  <si>
    <t>2017.1.12</t>
  </si>
  <si>
    <t xml:space="preserve">You wish to investigate the effects of a new anaesthesia technique on postoperative patient outcomes. Describe the stages of study design that are important to consider when planning this trial. </t>
  </si>
  <si>
    <t>2017.1.13</t>
  </si>
  <si>
    <t xml:space="preserve">You are asked to provide anaesthesia for cardioversion for a 60-year-old male with atrial fibrillation. Which factors influence the success of the cardioversion, and a safe outcome? </t>
  </si>
  <si>
    <t>2017.1.14</t>
  </si>
  <si>
    <t xml:space="preserve">Outline extubation strategies for anticipated difficult extubation of an adult. </t>
  </si>
  <si>
    <t>2017.1.15</t>
  </si>
  <si>
    <t xml:space="preserve">Describe the pathophysiological effects of carbon dioxide pneumoperitoneum during a surgical procedure. </t>
  </si>
  <si>
    <t>2016.2.1</t>
  </si>
  <si>
    <t xml:space="preserve">A patient presents for an elective inguinal hernia repair and his preoperative electrocardiogram shows trifascicular block. What implications might this have for this patient in the perioperative period and how will you manage those implications? </t>
  </si>
  <si>
    <t xml:space="preserve">A 30-year-old female at term requires a general anaesthetic for lower uterine segment caesarean section for significant antepartum haemorrhage. Discuss how significant antepartum haemorrhage affects your perioperative management. </t>
  </si>
  <si>
    <t>2016.2.3</t>
  </si>
  <si>
    <t xml:space="preserve">A 55-year-old male is in the post-anaesthesia care unit after nasal surgery. He is conscious, dyspnoeic, and is coughing up frothy secretions. List your differential diagnosis AND how this would direct subsequent management. </t>
  </si>
  <si>
    <t>2016.2.5</t>
  </si>
  <si>
    <t xml:space="preserve">A 20-year-old female presents to the emergency department in an agitated state. A. Interpret her blood gas (taken on room air). (50%) B. List the most likely differential diagnoses. (50%)
</t>
  </si>
  <si>
    <t xml:space="preserve">You are asked to provide local anaesthesia for awake craniotomy. Describe the innervation of the scalp, including the landmarks for nerve blockade. </t>
  </si>
  <si>
    <t>2016.2.6</t>
  </si>
  <si>
    <t xml:space="preserve">A new hospital is setting up its pain service and you have been asked to write the administration guidelines for ketamine infusions on the ward. Outline the information you would include in these guidelines. </t>
  </si>
  <si>
    <t>2016.2.7</t>
  </si>
  <si>
    <t xml:space="preserve">A. List the clinical features that support a diagnosis of malignant hyperthermia in an anaesthetised patient. (30%) B. Describe your immediate management of suspected malignant hyperthermia. (70%) </t>
  </si>
  <si>
    <t>2016.2.8</t>
  </si>
  <si>
    <t xml:space="preserve">A patient on the morning endoscopy list lives alone and is planning to return home in a taxi. She has already taken her colonoscopy preparation solution. What are the considerations for discharge planning for this patient? </t>
  </si>
  <si>
    <t>2016.2.9</t>
  </si>
  <si>
    <t xml:space="preserve">Outline the considerations for successful weaning from cardiopulmonary bypass after coronary artery graft surgery. </t>
  </si>
  <si>
    <t>2016.2.10</t>
  </si>
  <si>
    <t xml:space="preserve">A 30-year-old male is scheduled to undergo complex lower limb reconstructive surgery expected to last 18 hours. Discuss the issues associated with this prolonged procedure. </t>
  </si>
  <si>
    <t>2016.2.11</t>
  </si>
  <si>
    <t xml:space="preserve">Evaluate the use of 10% povidone−iodine compared to 0.5% chlorhexidine/70% isopropyl alcohol as skin preparation prior to the institution of lumbar epidural analgesia. </t>
  </si>
  <si>
    <t>2016.2.12</t>
  </si>
  <si>
    <t>A 70-year-old man scheduled for major surgery presents to the pre-anaesthesia assessment clinic. He has a history of ischaemic heart disease and coronary stent insertion, and is on aspirin and clopidogrel. Outline the considerations when managing 
his antiplatelet therapy.</t>
  </si>
  <si>
    <t>2016.2.13</t>
  </si>
  <si>
    <t xml:space="preserve">A 45-year-old male with longstanding diabetes is scheduled to undergo elective laparoscopic cholecystectomy. 1. In the pre-anaesthesia assessment clinic, how would you assess this patient for the presence of diabetic autonomic neuropathy?(50%) 
2.Discuss the anaesthetic implications of his autonomic neuropathy.(50%) </t>
  </si>
  <si>
    <t>2016.2.14</t>
  </si>
  <si>
    <t xml:space="preserve">A two-year-old boy scheduled for hypospadias repair is found to have a praecordial murmur. Justify your decision to proceed. </t>
  </si>
  <si>
    <t>2016.2.15</t>
  </si>
  <si>
    <t>A 65-year-old patient with type 2 diabetes is unable to dorsiflex her left foot 24 hours after undergoing a left total knee joint replacement under spinal anaesthesia and a left femoral nerve block. Discuss the possible causes of this problem. (50%) Outline how you would manage this situation. (50%)</t>
  </si>
  <si>
    <t>2016.1.1</t>
  </si>
  <si>
    <t xml:space="preserve">A 30-year-old patient with myotonic dystrophy is scheduled for surgery for acute appendicitis. Outline the important factors in the preoperative assessment of this patient. (50%) Describe how this patient’s myotonic dystrophy will affect your 
anaesthetic management.(50%) </t>
  </si>
  <si>
    <t>2016.1.2</t>
  </si>
  <si>
    <t xml:space="preserve">The anaesthetic machine is designed to deliver gases and anaesthetic vapours to patients via a breathing circuit. Outline the safety features of an anaesthetic machine. </t>
  </si>
  <si>
    <t>2016.1.3</t>
  </si>
  <si>
    <t xml:space="preserve">You are asked to anaesthetise an adult patient for a left pneumonectomy. Describe the different methods for lung isolation in this patient, including the advantages and disadvantages of each. </t>
  </si>
  <si>
    <t>2016.1.4</t>
  </si>
  <si>
    <t xml:space="preserve">Outline the pharmacological features of remifentanil. (50%) Describe how these features can be utilised when using remifentanil in clinical practice. (50%) </t>
  </si>
  <si>
    <t>2016.1.5</t>
  </si>
  <si>
    <t xml:space="preserve">Outline risk factors for spinal cord ischaemia in a patient undergoing endovascular repair of a thoraco-abdominal aortic aneurysm. (50%) Discuss your approach to minimising spinal cord ischaemia in this setting. (50%) </t>
  </si>
  <si>
    <t>2016.1.6</t>
  </si>
  <si>
    <t xml:space="preserve">Outline the pathophysiological insults that exacerbate a primary brain injury following head trauma and indicate how can they be minimised. </t>
  </si>
  <si>
    <t>2016.1.7</t>
  </si>
  <si>
    <t xml:space="preserve">A six-week-old term baby weighing 4.0 kg requires pyloromyotomy for pyloric stenosis. How would you assess the baby’s hydration status? (50%) Detail and justify your resuscitation regimen. (50%) </t>
  </si>
  <si>
    <t>2016.1.8</t>
  </si>
  <si>
    <t xml:space="preserve">Considering the indications and limitations, compare the rationale for the use of: —Hudson masks —Non-rebreathing masks —Nasal prongs </t>
  </si>
  <si>
    <t>2016.1.9</t>
  </si>
  <si>
    <t xml:space="preserve">A patient with known primary pulmonary hypertension is scheduled to undergo elective umbilical hernia repair. How will you assess the severity of this patient’s pulmonary hypertension? (50%) How does this diagnosis affect your perioperative
 management of this patient? (50%) </t>
  </si>
  <si>
    <t>2016.1.10</t>
  </si>
  <si>
    <t>As a perioperative physician, what strategies can you offer to assist a patient to cease smoking tobacco and how will you best communicate them?</t>
  </si>
  <si>
    <t>2016.1.11</t>
  </si>
  <si>
    <t xml:space="preserve">Outline the physiological implications of brainstem death following subarachnoid haemorrhage in a patient listed for organ donation. </t>
  </si>
  <si>
    <t>2016.1.12</t>
  </si>
  <si>
    <t xml:space="preserve">Describe the physiological responses to electroconvulsive therapy (ECT). (50%) Discuss how these affect your anaesthetic management of a patient undergoing ECT. (50%) </t>
  </si>
  <si>
    <t>2016.1.13</t>
  </si>
  <si>
    <t xml:space="preserve">An obese 55-year-old female has undergone sleeve gastrectomy which concluded one hour earlier. The post anaesthetic care unit has called to report a blood pressure of 190/110 mmHg. Discuss your approach to the evaluation and management 
of the hypertension. </t>
  </si>
  <si>
    <t>2016.1.14</t>
  </si>
  <si>
    <t xml:space="preserve">A 40-year-old patient who is scheduled for elective total abdominal hysterectomy has a haemoglobin level of 80 g/l. Describe your preoperative assessment and optimisation of this patient's anaemia. </t>
  </si>
  <si>
    <t>2016.1.15</t>
  </si>
  <si>
    <t>A 65 year old female patient requires open reduction and internal fixation (ORIF) of her fractured distal radius and ulna. She has no other injuries and is otherwise well but is keen to avoid general anaesthesia. a. List the options for nerve block to 
provide regional anaesthesia in this patient (30%) b. Describe the advantages and disadvantages of each of these options (70%)</t>
  </si>
  <si>
    <t>2015.2.1</t>
  </si>
  <si>
    <t>2015.2.2</t>
  </si>
  <si>
    <t>A 50 year old patient has received an orthotopic heart transplant 10 years ago. He now presents for elective non-cardiac surgery. Outline the issues a prior heart transplant may present for the anaesthetist AND describe how these will affect 
anaesthetic management.</t>
  </si>
  <si>
    <t>An adult patient is scheduled for a major operation during which significant blood loss is expected. Describe strategies you would consider peri-operatively when planning to minimise blood loss and transfusion requirement.</t>
  </si>
  <si>
    <t>2015.2.3</t>
  </si>
  <si>
    <t>2015.2.4</t>
  </si>
  <si>
    <t>a. Describe the clinical features of trigeminal neuralgia (50%) b. Discuss the efficacy of the treatment modalities available for this condition. (50%)</t>
  </si>
  <si>
    <t xml:space="preserve">A 61 year old woman is scheduled for total laparoscopic hysterectomy. She has had an episode of awareness under anaesthesia during previous laparoscopic surgery. a. What are the risk factors for awareness? (30%) b. How would you minimise this patient’s 
risk of awareness during her operation? (70%) </t>
  </si>
  <si>
    <t>2015.2.5</t>
  </si>
  <si>
    <t xml:space="preserve">A three year old child requires an adenotonsillectomy for obstructive sleep apnoea. Outline and justify your peri-operative management plan. </t>
  </si>
  <si>
    <t>2015.2.6</t>
  </si>
  <si>
    <t xml:space="preserve">A drug has been unintentionally administered through a radial arterial line in an awake patient. Describe your management of this situation. </t>
  </si>
  <si>
    <t>2015.2.7</t>
  </si>
  <si>
    <t xml:space="preserve">A 20 year old patient has been successfully resuscitated from suspected anaphylaxis. Describe your immediate and longer term post crisis management. </t>
  </si>
  <si>
    <t>2015.2.8</t>
  </si>
  <si>
    <t xml:space="preserve">A patient requires vascular access for three weeks. a. List the advantages and disadvantages of a peripherally inserted central catheter (PICC line) compared to a percutaneous central venous catheter (CVL). (50%) b. Outline the methods by which you would 
minimize the risks associated with the placement of a PICC line. (50%) </t>
  </si>
  <si>
    <t>2015.2.9</t>
  </si>
  <si>
    <t xml:space="preserve">A patient is undergoing revision parathyroidectomy. At the surgeon’s request, you have placed a Nerve Integrity Monitor (NIM) tube for monitoring recurrent laryngeal nerve function. The surgeon is unable to elicit a response from the monitor 
when stimulating the recurrent laryngeal nerve. a. Explain how the NIM tube monitors nerve function? (30%) b. Outline the possible causes of being unable to elicit a response and how you would manage them? (70%) </t>
  </si>
  <si>
    <t>2015.2.10</t>
  </si>
  <si>
    <t xml:space="preserve">Describe the complications that can occur post carotid endarterectomy and how these may present in the post anaesthesia care unit (PACU). </t>
  </si>
  <si>
    <t>2015.2.11</t>
  </si>
  <si>
    <t xml:space="preserve">A 47 year old man presents to the emergency department with acute abdominal pain requiring a laparotomy. He is known to have chronic high intake of alcohol. Describe how chronic alcohol misuse will affect your perioperative management 
of this patient. </t>
  </si>
  <si>
    <t>2015.2.12</t>
  </si>
  <si>
    <t>2015.2.13</t>
  </si>
  <si>
    <t>a. Describe the principles behind an “Enhanced Recovery After Surgery (ERAS)” programme for colorectal surgery. (50%) b. Outline the key steps you would take in setting up this programme in your hospital (50%)</t>
  </si>
  <si>
    <t>2015.2.14</t>
  </si>
  <si>
    <t>A 65 year old female patient is two hours into debridement and skin grafting for a 40% burn to her thorax and legs. She is intubated and paralysed. An arterial blood gas now shows: pH 7.12 PaO2 150 PaCO2 45 HCO3 15 K 6.3 a. Outline the potential causes for this patient’s hyperkalaemia (30%). b. Describe your management of this hyperkalaemia. (70%)</t>
  </si>
  <si>
    <t xml:space="preserve">Evaluate the role of tranexamic acid in primary hip arthroplasty. </t>
  </si>
  <si>
    <t>2015.2.15</t>
  </si>
  <si>
    <t>2015.1.1</t>
  </si>
  <si>
    <t>Describe the anatomy relevant to performing a thoracic paravertebral block. (50%) List the advantages and complications of performing this block for a patient undergoing radical mastectomy (50%)</t>
  </si>
  <si>
    <t xml:space="preserve">List the risk factors for postoperative nausea and vomiting (PONV) (30%) Evaluate methods to minimise PONV (70%) </t>
  </si>
  <si>
    <t>2015.1.2</t>
  </si>
  <si>
    <t>A patient who is 6 weeks post cardiac surgery has a pericardial effusion requiring treatment. Outline the symptoms and signs of this condition. (70%) Which of these features would trigger an urgent intervention? (30%)</t>
  </si>
  <si>
    <t>2015.1.3</t>
  </si>
  <si>
    <t xml:space="preserve">A 40-year-old 100 kg patient presents with septicaemia of unknown cause. After receiving two litres of 0.9% NaCl (Normal Saline) as initial resuscitation the patient has the following observations: HR 126 bpm BP 80/40 mmHg Outline your initial resuscitation goals. (30%) 
Evaluate options for ongoing fluid resuscitation at this time. (70%) </t>
  </si>
  <si>
    <t>2015.1.4</t>
  </si>
  <si>
    <t xml:space="preserve">You are planning a trial to evaluate the efficacy of a new drug on reducing post-laparotomy pain. Describe potential sources of bias and indicate how these can be minimised. </t>
  </si>
  <si>
    <t>2015.1.5</t>
  </si>
  <si>
    <t>You are called to see a 30-year-old woman who has collapsed 2 hours post normal vaginal delivery. What is the differential diagnosis? (30%) Outline the clinical features and investigations that would support a diagnosis of postpartum haemorrhage. (70%)</t>
  </si>
  <si>
    <t>2015.1.6</t>
  </si>
  <si>
    <t>An elderly patient is scheduled for total hip replacement and has been taking oxycodone 40mg twice daily in the last six months for severe hip pain. What issues do you anticipate with regard to her oxycodone use? (50%) How do these issues influence 
your postoperative management? (50%)</t>
  </si>
  <si>
    <t>2015.1.7</t>
  </si>
  <si>
    <t xml:space="preserve">A thirty-year-old man has sustained a penetrating eye injury requiring surgery. What are the key anaesthetic issues? (30%) Outline your plan of perioperative management and justify your choices. (70%) </t>
  </si>
  <si>
    <t>2015.1.8</t>
  </si>
  <si>
    <t xml:space="preserve">Forty minutes after a laparoscopic appendicectomy has been completed, a 55 year old patient has failed to regain consciousness. List the potential causes. (30%) Describe your management (70%) </t>
  </si>
  <si>
    <t>2015.1.9</t>
  </si>
  <si>
    <t xml:space="preserve">A 68 year-old male with severe Parkinson's Disease presents for elective right hemicolectomy. Current medications include levodopa/benserazide and selegiline (monoamine oxidase inhibitor). What clinical features of Parkinson ’s disease affect 
anaesthesia? (50%) Justify your perioperative drug management plan. (50%) </t>
  </si>
  <si>
    <t>2015.1.10</t>
  </si>
  <si>
    <t xml:space="preserve">List the essential equipment currently recommended to manage a difficult airway in an adult patient. (50%) Justify supplementary items you would recommend. (50%) </t>
  </si>
  <si>
    <t>2015.1.11</t>
  </si>
  <si>
    <t>In preadmission clinic you are assessing a patient who is concerned about the risk of developing venous thromboembolism (VTE) perioperatively. Outline the patient factors that increase the risk of VTE. (50%) Describe measures that may reduce the risk of perioperative VTE (50%)</t>
  </si>
  <si>
    <t>2015.1.12</t>
  </si>
  <si>
    <t>An elderly patient has collapsed with a bleed into a known brain tumour and is unable to communicate. An advance health directive has been produced stating she would not wish to receive treatment if the most likely outcome was a significant permanent Define advance health directive, including its scope and legal status (50%)  How would this advance health directive influence decision making around treatment options.  neurological deficit. (50%)</t>
  </si>
  <si>
    <t>2015.1.14</t>
  </si>
  <si>
    <t>2015.1.13</t>
  </si>
  <si>
    <t xml:space="preserve">A 40 year old requires a laparotomy ten days after an isolated traumatic spinal cord transection at C6. Outline the key anaesthetic issues. (50%) How would these influence your anaesthetic management? (50%) </t>
  </si>
  <si>
    <t xml:space="preserve">Describe the physiological principles underlying preoxygenation prior to the induction of anaesthesia. (50%) Discuss the advantages and disadvantages of using a high inspired oxygen concentration (&gt;80%) during maintenance of anaesthesia. 
(50%) </t>
  </si>
  <si>
    <t>2015.1.15</t>
  </si>
  <si>
    <t>An 8 week old baby is scheduled for an inguinal hernia repair on your list at a local general hospital tomorrow. a) Outline the important issues when providing anaesthesia care for this baby. (70%) b) Justify your decision to proceed with surgery at the local general 
hospital (30%)</t>
  </si>
  <si>
    <t>2014.2.1</t>
  </si>
  <si>
    <t>A 25 year old man with a history of blunt trauma to the right side of his head has a fixed and dilated right pupil. He has been intubated and ventilated in the emergency department after an initial Glasgow Coma Score (GCS) of 15 on admission had fallen 
to 3.Evaluate the pharmacological and non-pharmacological methods to manipulate this patient’s intracranial pressure? </t>
  </si>
  <si>
    <t>2014.2.2</t>
  </si>
  <si>
    <t>A patient is scheduled to undergo prolonged steep head-down surgery. a. Outline the potential anaesthetic implications of this position in this situation. (50%) b. Describe how you would modify your anaesthetic plan to minimise these. (50%) </t>
  </si>
  <si>
    <t>2014.2.3</t>
  </si>
  <si>
    <t>A patient scheduled for transurethral resection of the prostate is seen in the pre-admission clinic. He has non-valvular atrial fibrillation and was commenced on dabigatran 150 mg bd when he had a minor stroke three months ago. 
a) Outline briefly the advantages and disadvantages of dabigatran as compared to warfarin for stroke prevention in elective surgical patients. (30%) b) Describe and justify your plan for the perioperative management of this patient’s 
anticoagulation. (70%) </t>
  </si>
  <si>
    <t>2014.2.4</t>
  </si>
  <si>
    <t>a) Outline the principles of cardiopulmonary exercise testing (50%) b) Evaluate the role of cardiopulmonary exercise testing in a patient who is scheduled for oesophagectmony (50%) </t>
  </si>
  <si>
    <t>2014.2.5</t>
  </si>
  <si>
    <t>You are called to see a 30 year old man with bilateral fractured femurs. He has been diagnosed with Fat Embolism Syndrome. a. Outline the pathophysiology of Fat Embolism Syndrome? (50%) b. Describe the principles of management of Fat Embolism Syndrome? (50%) </t>
  </si>
  <si>
    <t>2014.2.6</t>
  </si>
  <si>
    <t>An 80 year old man is scheduled for endovascular abdominal aortic aneurysm repair (EVAR). a. What are the likely risk factors for acute kidney injury in this setting? (30%) b. Describe and evaluate the methods available to preserve his renal 
function in the perioperative period. (70%) </t>
  </si>
  <si>
    <t>2014.2.7</t>
  </si>
  <si>
    <t>A 25 year old woman who is 30 weeks pregnant has been referred to your tertiary high risk obstetric clinic. She has complex cyanotic congenital heart disease and now functions with a Fontan circulation. a) How would you stratify the cardiovascular risk? (30%) 
b) What are the issues relevant to anaesthetic care that will need to be managed for this patient? (70%) </t>
  </si>
  <si>
    <t>2014.2.8</t>
  </si>
  <si>
    <t>A 30 year old patient with myasthenia gravis presents for orthopaedic procedure and refuses a regional anaesthetic technique a. What are the signs and symptoms of myasthenia gravis? (30%) b. How does the disease affect your anaesthetic management? (70%) </t>
  </si>
  <si>
    <t>2014.2.9</t>
  </si>
  <si>
    <t>As the on-duty specialist anaesthetist, you are asked to see a previously well 64 year-old man in the PACU with SpO2 of 85% two hours after laparoscopic right partial nephrectomy during which he lost 1 litre of blood. a) List the likely causes of the desaturation? (30%) b) Outline your approach to managing the patient’s hypoxaemia. (70%) </t>
  </si>
  <si>
    <t>2014.2.10</t>
  </si>
  <si>
    <t>2016.2.04</t>
  </si>
  <si>
    <t>2016.2.02</t>
  </si>
  <si>
    <t>2017.2.07</t>
  </si>
  <si>
    <t>2019.1.06</t>
  </si>
  <si>
    <t xml:space="preserve">In a large clinical trial, patients were randomised into two groups to study the impact of using a nitrous oxide (N2O) anaesthetic on the incidence of death and other major cardiovascular events. The table below shows the results. 
70% N2O in 30% O2- Sampe size 3500- Number of cases of death and major cardiovascular events 283
Air in 30% O2- Sample size 3500- Number of cases of death and major cardiovascular events 296
Data analysis found that the difference in the incidence of death and major cardiovascular events had a p value of 0.64. The study reported that 70% N2O anaesthesia had a relative risk of death and major cardiovascular events of 0.96 (95% CI 0.82-1.13).
Define the following terms and explain their meaning in relation to this study:
- P value
- Risk reduction
- Confidence interval
- Odds ratio
</t>
  </si>
  <si>
    <t>2014.2.11</t>
  </si>
  <si>
    <t>A 55 year old patient is undergoing emergency laparotomy for acute bowel obstruction. Intraoperative blood tests include the following result: Serum Mg++ 0.40 mmol/L (Normal 0.70 – 1.00 mmol/L) a) Outline the potential causes for this result and the effects it may produce. (70%) b) Describe the management of this abnormality. (30%)</t>
  </si>
  <si>
    <t>2014.2.12</t>
  </si>
  <si>
    <t>a. Describe the function of a three-chamber underwater seal chest drainage system. (a diagram may be useful) (50%) b. Evaluate the use of this system in the management of haemopneumothorax secondary to blunt chest trauma? (50%) </t>
  </si>
  <si>
    <t>2014.2.13</t>
  </si>
  <si>
    <t>A patient presents for a microlaryngoscopy and laser of a 5 mm nodule on his left vocal cord. (a) Outline the risks associated with the use of lasers in airway surgery. (50%) (b) Discuss the precautions that should be taken to manage these. (50%)</t>
  </si>
  <si>
    <t>2014.2.14</t>
  </si>
  <si>
    <t>a. Describe the anatomy relevant to performing a femoral nerve block at the level of the inguinal ligament (50%) b. Outline the advantages and disadvantages of performing a femoral nerve block at this site as part of an analgesia plan for a patient 
undergoing total knee arthroplasty. (50%) </t>
  </si>
  <si>
    <t>2014.2.15</t>
  </si>
  <si>
    <t>Outline the advantages and disadvantages of using the paediatric circle system and the Jackson-Rees modification of Ayre’s T-piece (Mapleson F) for anaesthesia in a 15 kg child.</t>
  </si>
  <si>
    <t>2014.1.01</t>
  </si>
  <si>
    <t>An otherwise well 35-year-old woman is scheduled for ablation of an accessory atrioventricular pathway in the Cardiac Electrophysiology laboratory. What are the implications for anaesthesia and how would you manage them?</t>
  </si>
  <si>
    <t>2014.1.02</t>
  </si>
  <si>
    <t>Operating theatres starting late have been identified as a problem in your hospital. How would you design and implement a quality improvement program to assess and improve operating theatre starting times in your hospital?</t>
  </si>
  <si>
    <t>2014.1.03</t>
  </si>
  <si>
    <t>A patient with chronic atrial fibrillation on warfarin is scheduled for elective surgery.Outline how you decide if bridging therapy is needed? (70%) Describe how you would bridge anticoagulation if necessary. (30%)</t>
  </si>
  <si>
    <t>2014.1.04</t>
  </si>
  <si>
    <t>A 40 year-old male is scheduled for elective bariatric surgery.For this patient: List the important features of history and examination that may identify a potentially difficult airway. (30%) How could you modify your anaesthetic technique to 
minimise hypoxia at induction. (70%)</t>
  </si>
  <si>
    <t>2014.1.05</t>
  </si>
  <si>
    <t>A patient is complaining of central chest pain in the post anaesthesia care unit (PACU) following femoro-popliteal artery bypass surgery.Outline the diagnostic criteria for acute myocardial ischaemia on an ECG? (30%) Describe your management 
of acute myocardial ischemia in PACU in this patient. (70%)</t>
  </si>
  <si>
    <t>2014.1.06</t>
  </si>
  <si>
    <t>You are inserting a central venous line (CVL) as part of your anaesthetic management for a laparotomy. Outline the perioperative measures you should consider to minimise central venous line sepsis.</t>
  </si>
  <si>
    <t>2014.1.07</t>
  </si>
  <si>
    <t>A patient has a mid-thoracic epidural inserted preoperatively prior to anaesthesia for open AAA repair. Describe the relevant anatomy including surface landmarks for insertion of a mid-thoracic epidural. Use of diagram(s) may be helpful (50%) List 
reasons for persistent leg weakness 4 hours after emergence from anaesthesia in this case (50%)</t>
  </si>
  <si>
    <t>An otherwise well patient presents for a laparoscopic right hemicolectomy. What are the issues related to the carbon dioxide pneumoperitoneum? How would your intra operative management address these issues?</t>
  </si>
  <si>
    <t>2014.1.09</t>
  </si>
  <si>
    <t>Outline the steps to ensure the safe storage, handling and administration of blood to a patient once the packed red blood cells (RBC’s) have arrived in the theatre suite.</t>
  </si>
  <si>
    <t>2014.1.10</t>
  </si>
  <si>
    <t xml:space="preserve">A 60-year-old woman is having breast reconstruction surgery using a deep inferior epigastric perforator free flap six months following a mastectomy for breast cancer. Discuss the issues of anaesthetic management relevant for
 this procedure. </t>
  </si>
  <si>
    <t>Outline the physiological determinants of blood flow through a myocutaneous free flap? (50%) Evaluate the use of vasoconstrictors for support of blood pressure following reanastamosis of a myocutaneous free flap? (50%)</t>
  </si>
  <si>
    <t>2014.1.11</t>
  </si>
  <si>
    <t>A patient is scheduled on your list for arthroscopic shoulder surgery. The surgery is to be performed in the beach chair position. List the problems associated with this position and describe how you could minimise them.</t>
  </si>
  <si>
    <t>2014.1.12</t>
  </si>
  <si>
    <t>A 53 year-old man with acromegaly presents for a transphenoidal resection of his pituitary tumour. Outline the features of acromegaly. (50%) How does this diagnosis influence your anaesthetic management? (50%)</t>
  </si>
  <si>
    <t>2014.1.13</t>
  </si>
  <si>
    <t>A patient’s arterial blood gases include pH 7.1 pCO2 27 mmHg HCO3 &lt;15 A. What is the acid-base status of this patient and briefly justify your differential diagnosis list. B. Describe how other biochemical parameters would help identify the cause</t>
  </si>
  <si>
    <t>2014.1.15</t>
  </si>
  <si>
    <t>2014.1.14</t>
  </si>
  <si>
    <t>Define persistent post surgical pain. Outline the interventions that are efficacious in reducing the transition of acute post surgical pain to persistent post surgical pain</t>
  </si>
  <si>
    <t>A 68-year-old man is scheduled for total knee replacement next week. He has hypertension, for which he is prescribed enalapril, and type 2 diabetes, for which he is prescribed metformin. Justify your perioperative management of his medications. </t>
  </si>
  <si>
    <t>2013.2.01</t>
  </si>
  <si>
    <t xml:space="preserve">In a large clinical trial, patients were randomised into two groups to study the impact of BIS monitoring on the incidence of awareness. The table below shows the results. 
Data analysis found that the difference in the incidence of awareness had a p value of 0.022. The study reported that BIS guided anaesthesia reduced the risk of awareness by 82% (95% CI 17-98%) with an odds ratio of 0.2 and a NNT of 140.
Define the following terms and explain their meaning in relation to this study:
-  P value
- Risk reduction
- Confidence interval
- Odds ratio
- Number needed to treat
</t>
  </si>
  <si>
    <t>a. Outline the principles of stroke volume variation (SVV) measurement. (50%) b. Describe how SVV measurement can be used to assist haemodynamic optimisation in a patient undergoing major elective abdominal surgery. (50%) </t>
  </si>
  <si>
    <t>2013.2.03</t>
  </si>
  <si>
    <t>Outline methods available to minimise intraoperative drug errors </t>
  </si>
  <si>
    <t>2013.2.04</t>
  </si>
  <si>
    <t>An adult patient is scheduled for formation of an arterio-venous fistula at the wrist. a. Describe the nerve supply relevant to this surgery. (30%) b. Discuss the suitability of an interscalene block in this situation. (70%) </t>
  </si>
  <si>
    <t>2013.2.05</t>
  </si>
  <si>
    <t>2013.2.06</t>
  </si>
  <si>
    <t xml:space="preserve">A patient is undergoing femoro-popliteal artery bypass grafting for intermittent claudication under spinal anaesthesia with no sedation. Discuss this patient’s intraoperative arterial blood gas result. 
FiO2 0.5
Patient temperature 36.5oC
pH 7.235 (7.35 – 7.45)
PaO2 145 mmHg (80 – 100 mmHg)
PaCO2 50 mmHg (35 – 45 mmHg)
HCO3⁻ 15 mmol/L (22 – 26 mmol/L)
Base Excess -6 mmol/L (-2 – +2 mmol/L)
Lactate 3.5 mmol/L (0.5 – 2 mmol/L)
</t>
  </si>
  <si>
    <t>Discuss the safe use of arterial tourniquets for orthopaedic procedures.</t>
  </si>
  <si>
    <t>2013.2.07</t>
  </si>
  <si>
    <t>You are asked to evaluate a 35-year-old patient who has been scheduled for mediastinoscopy to biopsy a symptomatic anterior mediastinal mass a. Discuss the features specific to this condition that need to be considered when planning an anaesthetic for 
this patient. (50%) b. Describe how you may need to adapt your anaesthetic plan in response to each of these features. (50%) </t>
  </si>
  <si>
    <t>2013.2.08</t>
  </si>
  <si>
    <t>2013.2.09</t>
  </si>
  <si>
    <t>A 25-year-old boilermaker is scheduled for repair of a penetrating eye injury on the emergency list. a. List the determinants of intraocular pressure in general. (30%) b. Discuss the perioperative measures available to minimise increases in intraocular pressure in this patient. (70%)</t>
  </si>
  <si>
    <t>A 7-year-old nonverbal girl with severe spastic cerebral palsy is scheduled for cystoscopy. a. Describe the important features of cerebral palsy relevant to planning anaesthesia for this procedure. (70%) b. What are the advantages and disadvantages of inhalational
 induction in this child? (30%) </t>
  </si>
  <si>
    <t>2013.2.10</t>
  </si>
  <si>
    <t>Evaluate the role of tramadol in acute and chronic pain management.</t>
  </si>
  <si>
    <t>2013.2.11</t>
  </si>
  <si>
    <t>Three days after a patient has undergone hemiarthroplasty under general anaesthesia, his relatives ask to see you because of concerns that the patient does not recognise family members. This was not present preoperatively. a. What features would distinguish between delirium and dysfunction in this setting? (50%) b. What you would advise the family to be the expected outcome? (50%) </t>
  </si>
  <si>
    <t>2013.2.12</t>
  </si>
  <si>
    <t>You are asked to assess a 35-year-old woman on labour ward. She has uncontrolled hypertension at 34 weeks’ gestation. Her blood pressure is 180/110 mmHg and urinalysis shows 3+ of protein. Her obstetrician wants to deliver her by caesarean section as soon
 as feasible. Outline your management to optimise her status prior to transfer to theatre. </t>
  </si>
  <si>
    <t>2013.2.13</t>
  </si>
  <si>
    <t>Intensive care patients may be at risk of ventilator-associated pneumonia (VAP). a. Describe the likely aetiology of, and risk factors for, VAP. (50%) b. Outline prevention strategies that reduce the incidence of VAP. (50%)</t>
  </si>
  <si>
    <t>2013.2.14</t>
  </si>
  <si>
    <t>A 25-year-old female with longstanding C5-6 quadriplegia requires ureteric stent insertion. Outline the implications for anaesthesia. </t>
  </si>
  <si>
    <t>2013.2.15</t>
  </si>
  <si>
    <t>a. How is the need for manual in-line stabilisation of the neck determined? (50%) b. What are the implications of inline stabilisation for endotracheal intubation of the airway (50%).</t>
  </si>
  <si>
    <t>2013.1.01</t>
  </si>
  <si>
    <t>Outline the features of the anaesthetic machine that ensure safe gas delivery to the patient. </t>
  </si>
  <si>
    <t>2013.1.02</t>
  </si>
  <si>
    <t>An elderly patient is to undergo operative fixation of a fractured neck of femur. A radial arterial line is inserted prior to induction, and when transduced, the trace appears damped a. What are the possible causes for the trace to appear damped in this patient? (50%)b. Outline the steps you would take to ensure the accuracy of your arterial line (50%) </t>
  </si>
  <si>
    <t>2013.1.03</t>
  </si>
  <si>
    <t>a. Describe the sensory innervation of the respiratory passage from the nostrils to, and including, the vocal cords (50%). b. List the indications and contraindications for nasal intubation (50%).</t>
  </si>
  <si>
    <t>2013.1.04</t>
  </si>
  <si>
    <t>What are the perioperative concerns for the anaesthetist managing a patient with epilepsy?</t>
  </si>
  <si>
    <t>2013.1.05</t>
  </si>
  <si>
    <t>A fit 37-year-old female presents for laparoscopic appendicectomy. She reports a “severe allergic reaction” during her a laparoscopy 5 years ago. There were no tests performed and the records are not available. a. Outline your strategy for 
managing this case. (70%) b. List the investigations that are recommended following any suspected anaphylaxis and when they should be performed. (30%) </t>
  </si>
  <si>
    <t>2013.1.06</t>
  </si>
  <si>
    <t>A 25 year old woman at 28 weeks gestation, with a body mass index (BMI) of 45 attends the high risk obstetric clinic. Outline the pathophysiology of morbid obesity affecting pregnancy and describe the implications for obstetric anaesthetic care.</t>
  </si>
  <si>
    <t>2013.1.07</t>
  </si>
  <si>
    <t>a. In a patient who complains of post operative pain, which features of the history and examination suggest a diagnosis of acute neuropathic pain? (50%) b. How would the diagnosis affect your postoperative pain management plan? (50%)</t>
  </si>
  <si>
    <t>2013.1.08</t>
  </si>
  <si>
    <t>a. What is evidence based medicine. (30%) b. Describe the features of a systematic review, indicating how it may influence your practice of anaesthesia. (70%)</t>
  </si>
  <si>
    <t>2013.1.09</t>
  </si>
  <si>
    <t>List methods to prevent hypothermia in paediatric patients during anaesthesia and surgery, commenting on the effectiveness of each.</t>
  </si>
  <si>
    <t>2013.1.10</t>
  </si>
  <si>
    <t>A 25-year-old male scheduled for elective surgery is found to have a systolic murmur on the day of surgery a. What are the clinical features and ECG findings in this patient that would prompt you to postpone the case to allow further investigation? (70%) b. What are the likely causes of this murmur? (30%)</t>
  </si>
  <si>
    <t>2013.1.11</t>
  </si>
  <si>
    <t>a. Why can hypoxaemia occur after changing from two lung to one lung ventilation? 50%  b. Describe the treatment of hypoxaemia in one lung ventilation (50%) </t>
  </si>
  <si>
    <t>2013.1.12</t>
  </si>
  <si>
    <t>What are the hazards of the prone position for patients under general anaesthesia and how can they be minimized? </t>
  </si>
  <si>
    <t>You perform multiple intercostal blocks using 300mg ropivavcaine for flail chest a. What features would make you suspect systemic local anaesthetic toxicity? (50%) b. How would you manage the situation? (50%) </t>
  </si>
  <si>
    <t>2013.1.14</t>
  </si>
  <si>
    <t>A female patient scheduled requiring a total knee replacement is seen in clinic. A date has not yet been scheduled for surgery. On investigation she has a haemoglobin of 105 g/L 1. What are the most likely causes of this result, and how would 
confirm this? (50%) 2. What preoperative treatment would you undertake and why? What advice would you give for scheduling time of surgery? (50%) </t>
  </si>
  <si>
    <t>2013.1.15</t>
  </si>
  <si>
    <t>You are asked to anaesthetise an 80-year-old lady with dementia and a fractured neck of femur. She is on no other medication. 1. What are the issues in assessing pain in this patient? (50%) 2. What would you prescribe for postoperative analgesia and
 why? (50%) </t>
  </si>
  <si>
    <t>2012.2.01</t>
  </si>
  <si>
    <t>A 75-year-old man presents for right hemicolectomy for an obstructing lesion of the ascending colon that has failed to settle with conservative management. He had a drug-eluting stent placed eight months ago, and is currently on clopidogrel 
and aspirin. Discuss and justify your plan for perioperative management of his antiplatelet therapy? </t>
  </si>
  <si>
    <t>2012.2.02</t>
  </si>
  <si>
    <t>1. What are the prerequisites for separation from standard cardiopulmonary bypass after uneventful coronary artery bypass surgery? (50%) 2. What are the likely causes of hypotension in the immediate post-separation period? (50%)</t>
  </si>
  <si>
    <t>2012.2.03</t>
  </si>
  <si>
    <t>1. What is the natural history of aortic stenosis? (30%) 2. What are the key echocardiographic features in haemodynamically significant aortic stenosis? (70%) </t>
  </si>
  <si>
    <t>2012.2.04</t>
  </si>
  <si>
    <t>You are asked to assess a 4-year-old child who is scheduled for a strabismus (squint) correction as a day case procedure. 1. What are the issues relevant to anaesthesia? (70%) 2. What would prevent you from discharging this patient home after surgery? (30%)</t>
  </si>
  <si>
    <t>2012.2.05</t>
  </si>
  <si>
    <t>You are the consultant who has been tasked with introduction of the WHO SSCL (surgical safety checklist) to your hospital. 1. What are the principles behind the checklist that enhance patient safety, with reference to each component? (70%) 2. What do you expect the barriers to its effective implementation to be? (30%) </t>
  </si>
  <si>
    <t>2012.2.06</t>
  </si>
  <si>
    <t>In regard to total parenteral nutrition: 1. What are the indications? (30%) 2. What are the complications? (70%) </t>
  </si>
  <si>
    <t>2012.2.07</t>
  </si>
  <si>
    <t>Outline the key steps in gaining informed consent for anaesthesia in a competent ASA 1 adult undergoing minor elective surgery. </t>
  </si>
  <si>
    <t>2012.2.08</t>
  </si>
  <si>
    <t>A developmentally delayed, unco-operative adult requires a magnetic resonance imaging scan (MRI) for investigation of deteriorating control of seizures. What issues do you foresee in terms of providing general anaesthesia in the MRI suite for this patient? </t>
  </si>
  <si>
    <t>2012.2.09</t>
  </si>
  <si>
    <t>A trauma patient presents thirty minutes after a significant crush injury, with an estimated 40% blood loss. He was previously well. 1. Explain the coagulation abnormalities you would expect in this patient at this stage. (60%) 2. Discuss the current evidence for treatment of these abnormalities. (40%) </t>
  </si>
  <si>
    <t>2012.2.10</t>
  </si>
  <si>
    <t>You have been asked to provide anaesthesia for a lower uterine segment caesarean section (LUSCS) in a woman at 38 weeks gestation. She has a pacemaker-defibrillator implanted for a known cardiomyopathy. Her current echocardiogram demonstrates an ejection
 fraction of 35% with mild to moderate left ventricular global hypokinesis. Clinically, the patient feels very well. 1. What additional preparations with respect to her cardiovascular system would you make to ensure the safe management of this patient during her Caesarean Section? 2. Outline the relative benefits and risks of a regional technique compared with general anaesthesia in this patient. </t>
  </si>
  <si>
    <t>2012.2.11</t>
  </si>
  <si>
    <t>Describe the anatomy of the Transversus Abdominis Plane (TAP) relevant to regional analgesia. (70%) List the complications associated with TAP block. (30%) </t>
  </si>
  <si>
    <t>2012.2.12</t>
  </si>
  <si>
    <t>Discuss the key areas of concern in your preoperative assessment of a patient for excision of a large tonsillar mass. </t>
  </si>
  <si>
    <t>2012.2.14</t>
  </si>
  <si>
    <t>2012.2.13</t>
  </si>
  <si>
    <t>The Mallampati test is a commonly used bedside screening tool to assess the probability of a difficult intubation. Explain the terms sensitivity, specificity, positive predictive value, and negative predictive value when applied to this test. </t>
  </si>
  <si>
    <t>1. Classify the possible causes for patient awareness under general anaesthesia. (70%) 2. Evaluate the evidence for the use of Bispectral Index monitoring in reducing the risk of awareness. (30%) </t>
  </si>
  <si>
    <t>2012.2.15</t>
  </si>
  <si>
    <t>In regard to serotonin syndrome a. What are the risk factors? (20%) b. What are the clinical manifestations? (40%) c. What is the treatment for an acute episode of serotonin syndrome? (40%)</t>
  </si>
  <si>
    <t>2012.1.01</t>
  </si>
  <si>
    <t>A 65-year-old man is on your list for an arthroscopic acromioplasty that is to be performed in the beachchair position. a. List the complications associated with this position (30%) b. Describe how the risk of these complications can be minimised (70%)</t>
  </si>
  <si>
    <t>2012.1.02</t>
  </si>
  <si>
    <t>A 60-year-old man is admitted to the high dependency unit following laparotomy for relief of a large bowel obstruction. He has a urinary catheter in situ. Three hours later he remains oliguric. a. Define oliguria (10%) b. What are the potential 
causes of oliguria in this patient? (40%) c. How would you differentiate between these causes? (50%) </t>
  </si>
  <si>
    <t>2012.1.03</t>
  </si>
  <si>
    <t>An elderly patient has previously declined an above knee amputation for a gangrenous leg. She becomes acutely unwell, confused and no longer competent to make decisions. At the request of the family, the surgeon has approached you to discuss whether to proceed  with surgery or not. She is likely to die without the surgery. Outline the ethical considerations you would discuss with the surgeon. </t>
  </si>
  <si>
    <t>2012.1.04</t>
  </si>
  <si>
    <t>A healthy 28-year-old primigravida is scheduled for elective lower segment caesarean section for breech presentation at 39 weeks gestation. You have performed a spinal anaesthetic using 0.5% bupivacaine 2.2 ml and fentanyl 15 μg (total volume 2.5 ml). a. Describe the issues in assessing adequacy of the block for the planned surgery (50%) b. Describe the options for managing an inadequate block recognised prior to commencement of surgery (50%)</t>
  </si>
  <si>
    <t>2012.1.05</t>
  </si>
  <si>
    <t>A 25-year-old man with recurrent pneumothorax and persistent air leak is scheduled for video-assisted thoracoscopic pleurodesis. a. Outline the considerations involved in induction of anaesthesia in a patient with a persistent air leak (50%) b. Outline the 
management of an intraoperative deterioration of oxygen saturation in this patient (50%) </t>
  </si>
  <si>
    <t>2012.1.06</t>
  </si>
  <si>
    <t>a. List the methods of assessing intracranial pressure (ICP) (30%) b. Evaluate the role of ICP monitoring in the setting of traumatic brain injury (70%) </t>
  </si>
  <si>
    <t>2012.1.07</t>
  </si>
  <si>
    <t>A 35-year-old female is booked for thyroidectomy. Her blood results are as follows. Thyroid stimulating hormone (TSH, thyrotropin) 0.1 (N 0.3 – 3 mIU/l) Total Thyroxine (Total T4) 20 (N 4 – 11 μg/dl) Free Thyroxine (Free T4) 4 (N 0.7 – 1.8 ng/dl) 
Free Tri-iodothyronine (Free T3) 120 (N 60 – 175 ng/dl) a. Interpret the thyroid function tests (10%) b. Justify when you would proceed to thyroidectomy in this patient (50%) c. What is the management of an intraoperative thyrotoxic crisis? (40%) </t>
  </si>
  <si>
    <t>An adult patient from the intensive care unit with severe adult respiratory distress syndrome (ARDS) requires a laparotomy for an acute abdomen. a. What are the features of ARDS? (30%) b. Explain your perioperative ventilation strategy (70%) </t>
  </si>
  <si>
    <t>2012.1.10</t>
  </si>
  <si>
    <t>A 3-year-old presents to the emergency department with a recent onset of stridor. a. List the differential diagnoses (30%) b. How do you differentiate between the potential causes of this stridor? (70%) </t>
  </si>
  <si>
    <t>2012.1.09</t>
  </si>
  <si>
    <t>You are asked to initiate an opioid patient-controlled analgesia service in your hospital. a. How would you ensure patient safety? (70%) b. What are the key components to include in designing an order form? (30%) </t>
  </si>
  <si>
    <t>2012.1.11</t>
  </si>
  <si>
    <t>a. Describe the anatomy of the epidural space (50%) b. What are the clinical implications of the anatomical differences between thoracic and lumbar epidural spaces in the placement and management of epidural analgesia? (50%) </t>
  </si>
  <si>
    <t>2012.1.12</t>
  </si>
  <si>
    <t>a. List the risk factors for perioperative stroke (50%) b. Describe how you would minimise the risk in a high-risk patient having major orthopaedic surgery (50%) </t>
  </si>
  <si>
    <t>2012.1.3</t>
  </si>
  <si>
    <t>a. What do the terms decontamination, disinfection and sterilisation mean? (30%) b. What measures should be in place to minimise the risk of transmission of infection to the respiratory tract of patients via anaesthetic equipment? (70%) </t>
  </si>
  <si>
    <t>2012.1.14</t>
  </si>
  <si>
    <t>With regard to oxygen therapy for patients in a general postoperative ward a. Describe the options available (30%) b. What are the justifications for your choice for a particular patient? (70%)</t>
  </si>
  <si>
    <t>2012.1.15</t>
  </si>
  <si>
    <t>Compare and contrast oxygen delivery by nasal prongs, simple facemask and Venturi mask.</t>
  </si>
  <si>
    <t>2011.2.01</t>
  </si>
  <si>
    <t>A new randomised controlled trial suggests therapy A is better than therapy B in the treatment of condition X. How would you evaluate this trial before changing your clinical practice? </t>
  </si>
  <si>
    <t>2011.2.02</t>
  </si>
  <si>
    <t>What are the benefits and limitations of red blood cell salvage? (50%) How would you justify its introduction into your institution? (50%) </t>
  </si>
  <si>
    <t>2011.2.03</t>
  </si>
  <si>
    <t>While performing an epidural for labour analgesia in an otherwise healthy primigravida during the first stage of labour you inadvertently cause a dural puncture with the Tuohy needle. Discuss your management of this complication. </t>
  </si>
  <si>
    <t>2011.2.04</t>
  </si>
  <si>
    <t>Insertion of a central venous line may result in cardiac tamponade. a. How would you recognise this complication? (50%) b. How could you minimise the risk of this complication? (50%) </t>
  </si>
  <si>
    <t>2011.2.05</t>
  </si>
  <si>
    <t>A 50-year-old patient presents for urgent craniotomy and decompression of a subdural haematoma. Two days ago he was well, but now has a Glasgow Coma Scale score of 11. He is combative and has pulled out his intravenous line. On inspection there are 
no obvious veins for cannulation. a. List the options available for induction and intubation. (30%) b. Describe and justify your preferred approach. (70%) </t>
  </si>
  <si>
    <t>2011.2.06</t>
  </si>
  <si>
    <t>Four hours after multi-level laminectomy with instrumentation, your patient complains of unilateral visual loss. a. What is your differential diagnosis? (40%) b. How can you minimise the risk of visual complications in the prone patient? (60%) </t>
  </si>
  <si>
    <t>2011.2.07</t>
  </si>
  <si>
    <t>A child with active upper respiratory tract infection presents for general anaesthesia. a. Outline the factors that increase the rate of adverse respiratory events during anaesthesia. (50%) b. How can you reduce the risk of an adverse event occurring? (50%) </t>
  </si>
  <si>
    <t>2011.2.08</t>
  </si>
  <si>
    <t>You are called to anaesthetise a 70-year-old man with a perforated bowel for laparotomy, three days after colonoscopy. Outline the measures you will take to reduce the likelihood of this patient developing acute lung injury. </t>
  </si>
  <si>
    <t>2011.2.09</t>
  </si>
  <si>
    <t>A 70-year-old patient wearing a transdermal buprenorphine slow release patch (Norspan®) (5μg/h) presents for knee arthroscopy. a. Describe the mechanism of action and pharmacokinetic profile of this patch. (50%) b. What are the implications for 
perioperative pain management? (50%) </t>
  </si>
  <si>
    <t>2011.2.10</t>
  </si>
  <si>
    <t>a. Define quality assurance. (30%) b. How would you design and implement a Quality Improvement programme to assess patient satisfaction with the preoperative visit? (70%) </t>
  </si>
  <si>
    <t>2011.2.11</t>
  </si>
  <si>
    <t>a. Which peripheral nerve/s need to be blocked for complete analgesia following repair of a tibial plateau fracture? (30%) b. Describe your technique for blockade of these nerve/s (EXCLUDING central neuraxial blockade). (70%)</t>
  </si>
  <si>
    <t>2011.2.12</t>
  </si>
  <si>
    <t>2011.1.13</t>
  </si>
  <si>
    <t>A 50-year-old man presents with confusion and the following electrolyte profile:
Na+ 155 mmol/l K+ 4 mmol/l HCO3− 15 mmol/l Creatinine 120 μmol/l Hb 200 g/l
a. What are the possible causes of this abnormality? (30%) b. How can they be distinguished? (70%)</t>
  </si>
  <si>
    <t>A 70-year-old man has undergone radical prostatectomy under general anaesthesia. On emergence he has crushing central chest pain, is restless, and has cold, clammy skin. His blood pressure is 90/50 mm Hg, pulse rate 110/minute and SpO2 is 
95% on oxygen via a Hudson mask. A twelve-lead ECG shows widespread ST segment elevation across the anterior chest leads. a. Describe your immediate management. (50%) b. What are the treatment priorities for this patient? (50%) </t>
  </si>
  <si>
    <t>2011.2.14</t>
  </si>
  <si>
    <t>Explain your approach to thromboprophylaxis in the patient undergoing total knee replacement.</t>
  </si>
  <si>
    <t>2011.1.15</t>
  </si>
  <si>
    <t>(a) What is the role of dexamethasone in the management of postoperative nausea and vomiting? (70%) (b) What are the potential problems associated with its use? (30%) </t>
  </si>
  <si>
    <t>2011.1.01</t>
  </si>
  <si>
    <t>A patient with known idiopathic pulmonary fibrosis (fibrosing alveolitis) presents for an open right hemicolectomy. (a) What are the respiratory issues facing this patient with regard to their general anaesthetic? (70%) (b) Explain your intraoperative ventilation 
strategy. (30%) </t>
  </si>
  <si>
    <t>2011.1.02</t>
  </si>
  <si>
    <t>Explain the professional attributes of an anaesthetist in specialist practice. </t>
  </si>
  <si>
    <t>2011.1.03</t>
  </si>
  <si>
    <t>Evaluate the use of human albumin in perioperative volume replacement.</t>
  </si>
  <si>
    <t>2011.1.04</t>
  </si>
  <si>
    <t>(a) How would you clinically assess a patient complaining of leg numbness the day after a spinal anaesthetic for an emergency caesarean section? (70%) (b) How would you manage the situation? (30%) </t>
  </si>
  <si>
    <t>2011.1.05</t>
  </si>
  <si>
    <t>A 60-year-old man is booked for plating of a fractured ankle. He arrests on induction. His ECG shows ventricular fibrillation. Outline the immediate management of his cardiac arrest with particular reference to current resuscitation guidelines. </t>
  </si>
  <si>
    <t>2011.1.06</t>
  </si>
  <si>
    <t>A patient is scheduled for posterior fossa surgery in the sitting position. (a) Outline the precautions you would take to minimise the risk of venous air embolism. (70%)  (b) How would you recognise an air embolism intraoperatively? (30%) </t>
  </si>
  <si>
    <t>2011.1.07</t>
  </si>
  <si>
    <t>2011.1.08</t>
  </si>
  <si>
    <t xml:space="preserve">(a) Describe the anatomy, including surface landmarks, relevant to performing cricothyroidotomy. (50%)  (b) What are the complications of this procedure? (50%) </t>
  </si>
  <si>
    <t>You hear a cardiac murmur in a two-year-old child presenting for elective minor surgery. (a) What are the features of the murmur that would differentiate an innocent from a pathological murmur? (50%) (b) How would you evaluate this child’s fitness for anaesthesia 
from the cardiac perspective? (50%) </t>
  </si>
  <si>
    <t>2011.1.09</t>
  </si>
  <si>
    <t>2011.1.10</t>
  </si>
  <si>
    <t>(a) What factors contribute to acute kidney injury in the perioperative period? (70%) (b) Outline the efficacy of perioperative strategies to reduce acute kidney injury. (30%)</t>
  </si>
  <si>
    <t>(a) Describe the clinical pharmacology of codeine including an outline of its therapeutic use. (70%) (b) Describe the influence of pharmacogenetics on the variability of patient response to codeine. (30%)</t>
  </si>
  <si>
    <t>2011.1.11</t>
  </si>
  <si>
    <t>(a) What are the complications associated with residual neuromuscular blockade? (30%) (b) Evaluate the methods available to assess residual neuromuscular blockade. (70%) </t>
  </si>
  <si>
    <t>2011.1.12</t>
  </si>
  <si>
    <t>You are involved in the planning of a new Day Surgery Unit. (a) What systems would you put in place to reduce the likelihood of a power failure? (50%) (b) Outline a protocol for dealing with power failures. (50%) </t>
  </si>
  <si>
    <t>2011.1.14</t>
  </si>
  <si>
    <t xml:space="preserve">(a) Describe the abnormality on this electrocardiogram. (30%) (b) What are the implications of this abnormality for anaesthesia? (70%) 
</t>
  </si>
  <si>
    <t>(a) How would you identify a patient with autonomic neuropathy associated with diabetes? (50%) (b) What are the anaesthetic implications from a cardiovascular perspective? (50%) </t>
  </si>
  <si>
    <t>(a) What are the clinical consequences of hypothermia to 34⁰C in adults? (50%) (b) How can you manage body temperature in a multi-trauma patient? (50%)</t>
  </si>
  <si>
    <t>2010.2.01</t>
  </si>
  <si>
    <t>(a) Describe the arterial blood supply of the spinal cord. (50%) (b) Why is spinal cord function at risk during open repair of a thoracic aortic aneurysm and what measures are available to reduce this risk? (50%)</t>
  </si>
  <si>
    <t>2010.2.02</t>
  </si>
  <si>
    <t>A 45-year-old man with a longstanding history of alcoholism is booked for upper gastrointestinal endoscopy and banding of oesophageal varices following an episode of haematemesis. (a) How is the severity of this patient’s liver disease assessed? (50%) (b) How do these findings influence your evaluation of this patient’s perioperative risk? (50%)</t>
  </si>
  <si>
    <t>2010.2.03</t>
  </si>
  <si>
    <t>A 68-year-old man in hospital awaiting definitive surgery for a supraglottic squamous cell carcinoma of the larynx has worsening stridor at rest. (a) How might his symptoms be improved in the preoperative period? (30%) (b) Describe your evaluation of his airway and how this will influence your intraoperative airway management plan. (70%)</t>
  </si>
  <si>
    <t>2010.2.04</t>
  </si>
  <si>
    <t>2010.2.05</t>
  </si>
  <si>
    <t>A 6-month-old boy presents with an acute abdomen. He is diagnosed with intussusception and booked for laparotomy after a failed attempt at reduction. His heart rate is 160bpm and BP is 75/45 mmHg.
His electrolyte profile is as shown:
Na⁺ 132 mmol/l (135 – 145)
K⁺ 2.7 mmol/l (3.5 – 5.5)
Cl⁻ 106 mmol/l (95 – 110)
Urea 3.3 mmol/l (3.5 – 8.5)
Creatinine 86 μmol/l (60 – 110)
Lactate 4.5 mmol/l (1.0 – 1.8)
(a) How would you determine his degree of dehydration and how severe is it likely to be? (40%)
(b) Describe your perioperative fluid management. (40%)
(c) When would you proceed to surgery and why? (20%)</t>
  </si>
  <si>
    <t>How would you critically appraise a paper published in a journal? </t>
  </si>
  <si>
    <t>2010.2.06</t>
  </si>
  <si>
    <t>(a) Describe the common classification code for permanent pacemakers. (30%) (b) Outline the principles involved in the perioperative management of patients with a permanent pacemaker. (70%) </t>
  </si>
  <si>
    <t>2010.2.07</t>
  </si>
  <si>
    <t>How and why is cardiopulmonary resuscitation modified for the pregnant patient at term compared with the non-pregnant patient?</t>
  </si>
  <si>
    <t>2010.2.08</t>
  </si>
  <si>
    <t>(a) List the predisposing factors for pain persisting for more than three months postoperatively. (50%) (b) Outline the interventions that have been demonstrated to be efficacious in the prevention of persistent postoperative pain. (50%)</t>
  </si>
  <si>
    <t>2010.2.09</t>
  </si>
  <si>
    <t>2010.2.10</t>
  </si>
  <si>
    <t>An adult patient who was intubated for tonsillectomy is noted to have an upper central incisor tooth missing in the Recovery Room after extubation. (a) List the predisposing factors for perioperative dental damage. (50%) (b) What is your management of this situation? (50%)</t>
  </si>
  <si>
    <t>A 78-year-old female presents for fixation of a displaced femoral fracture. She has longstanding mitral regurgitation and is known to have a mean pulmonary artery pressure of 60mmHg. She reports orthopnoea but is not short of breath at rest. (a) What are the issues of concern in your preoperative assessment? (50%) (b) How would you manage pulmonary vascular resistance perioperatively? (50%)</t>
  </si>
  <si>
    <t>2010.1.11</t>
  </si>
  <si>
    <t>What are the advantages and disadvantages of general versus local anaesthesia for carotid endarterectomy?</t>
  </si>
  <si>
    <t>2010.2.12</t>
  </si>
  <si>
    <t>Outline the principles of an initial management plan for diabetic ketoacidosis, having regard to the physiological derangements involved.</t>
  </si>
  <si>
    <t>2010.2.13</t>
  </si>
  <si>
    <t>You are on the interview panel appointing new Assistants for the Anaesthetist. What are the educational requirements and the practical responsibilities expected of the applicants? </t>
  </si>
  <si>
    <t>2010.2.14</t>
  </si>
  <si>
    <r>
      <t xml:space="preserve">Each of sections (a), (b) and (c) is worth equal marks; within each section, each question is worth equal marks.
</t>
    </r>
    <r>
      <rPr>
        <b/>
        <sz val="14"/>
        <color theme="1"/>
        <rFont val="Times New Roman"/>
        <family val="1"/>
      </rPr>
      <t>a)</t>
    </r>
    <r>
      <rPr>
        <sz val="14"/>
        <color theme="1"/>
        <rFont val="Times New Roman"/>
        <family val="1"/>
      </rPr>
      <t xml:space="preserve">
(i) Identifying the key features, what pattern of disorder is demonstrated by these tests?
15
(ii) What are the possible causes?
</t>
    </r>
    <r>
      <rPr>
        <b/>
        <sz val="14"/>
        <color theme="1"/>
        <rFont val="Times New Roman"/>
        <family val="1"/>
      </rPr>
      <t>(b)</t>
    </r>
    <r>
      <rPr>
        <sz val="14"/>
        <color theme="1"/>
        <rFont val="Times New Roman"/>
        <family val="1"/>
      </rPr>
      <t xml:space="preserve"> What are the implications of general anaesthesia for an adult patient with Curve B presenting for a knee arthroscopy?
</t>
    </r>
    <r>
      <rPr>
        <b/>
        <sz val="14"/>
        <color theme="1"/>
        <rFont val="Times New Roman"/>
        <family val="1"/>
      </rPr>
      <t>c)</t>
    </r>
    <r>
      <rPr>
        <sz val="14"/>
        <color theme="1"/>
        <rFont val="Times New Roman"/>
        <family val="1"/>
      </rPr>
      <t xml:space="preserve">
(i) Describe the abnormalities on this capnograph.
(ii) What is your differential diagnosis?
(iii) How would you identify the likely cause in the intraoperative setting</t>
    </r>
  </si>
  <si>
    <t>2010.2.15</t>
  </si>
  <si>
    <t>a. List the complications associated with the use of limb tourniquets during surgery. (60%) b. How can these complications be minimised? (40%)</t>
  </si>
  <si>
    <t>2010.1.01</t>
  </si>
  <si>
    <t>a. List the hazards to the patient associated with the prone position under general anaesthesia. (60%) b. How can these hazards be minimised? (40%) </t>
  </si>
  <si>
    <t>2010.1.02</t>
  </si>
  <si>
    <t>A 20 year old female with a body mass index of 48 kg/m2 presents for an elective diagnostic laparoscopy for endometriosis. She has no other medical conditions. Describe the potential problems associated with anaesthetising this patient.</t>
  </si>
  <si>
    <t>2010.2.11</t>
  </si>
  <si>
    <t>2010.1.03</t>
  </si>
  <si>
    <t>a. Describe the pathophysiological changes associated with a haemoglobin of 75 g/L. (50%) b. Outline the patient factors that would indicate the need for a perioperative red blood cell transfusion in a patient with a haemoglobin of 75 g/L. (50%)</t>
  </si>
  <si>
    <t>2010.1.04</t>
  </si>
  <si>
    <t>A 26 year old woman with subclinical myotonic dystrophy presents to the high risk obstetric clinic. She is 25 weeks pregnant in her first pregnancy and otherwise well. She hopes for a normal vaginal delivery. Describe and justify your recommendations for the management of her analgesia for labour and the perioperative management of any potential operative delivery.</t>
  </si>
  <si>
    <t>2010.1.05</t>
  </si>
  <si>
    <t>A 40 year old man with hypertrophic obstructive cardiomyopathy (HOCM) presents for elective laparoscopic cholecystectomy. a. Describe the principles of intraoperative haemodynamic management for this patient. (40%) b. How would you manage hypotension post induction of general anaesthesia in this patient? (60%)</t>
  </si>
  <si>
    <t>2010.1.06</t>
  </si>
  <si>
    <t>A 43 year old female with a Grade 1 subarachnoid haemorrhage is scheduled for coiling of her middle cerebral artery in the radiology suite. Discuss the important issues to consider when providing anaesthesia for this patient.</t>
  </si>
  <si>
    <t>2010.1.07</t>
  </si>
  <si>
    <t>a. Describe the anatomy of the eye relevant to a sub-Tenon’s eye block. (40%) b. Discuss the potential advantages and disadvantages of this technique for providing regional anaesthesia for eye surgery. (60%) </t>
  </si>
  <si>
    <t>2010.1.08</t>
  </si>
  <si>
    <t>a. Describe the factors that influence emergence delirium in children. (50%) b. How would you manage emergence delirium in a 3 year old child having had myringotomy tubes inserted under general anaesthesia? (50%)</t>
  </si>
  <si>
    <t>2010.1.09</t>
  </si>
  <si>
    <t>a. Describe the pathophysiological effects of an inhalational injury following a house fire. (60%) b. What implications would this have for anaesthesia one week after the injury? (40%) </t>
  </si>
  <si>
    <t>2010.1.10</t>
  </si>
  <si>
    <t>A 34 year old, opioid-dependant woman is complaining of severe pain on the day after a first metatarsal osteotomy. The nurses are concerned she is drug-seeking. a. How would you assess this patient? (60%) b. Outline your pain management plan. (40%)</t>
  </si>
  <si>
    <t>a. Describe the aims of a quality assurance program. (40%) b. Outline the steps you would take to set up a quality assurance program for your anaesthesia department. (60%)</t>
  </si>
  <si>
    <t>2010.1.12</t>
  </si>
  <si>
    <t>a. What do you understand by the term “Universal Precautions”? (40%) b. Describe how you apply these precautions in your daily anaesthesia practice. (60%)</t>
  </si>
  <si>
    <t>2010.1.13</t>
  </si>
  <si>
    <t>A 58 year old man presents for tonsillectomy for a tonsillar tumour. He has a 2 year history of intermittent palpitations. His electrocardiogram at diagnosis shows the following
a. What is the diagnosis? Describe the electrocardiographic changes that support your diagnosis. (30%)
Following the administration of neostigmine and atropine for reversal of neuromuscular blockade, you see the following rhythm on your monitor.
b. What is this rhythm? How would you manage this situation? (70%)</t>
  </si>
  <si>
    <t>a. What is the physiological basis of preoxygenation? (50%) b. Describe your method of preoxygenation including how you assess its adequacy. (50%)</t>
  </si>
  <si>
    <t>2010.1.15</t>
  </si>
  <si>
    <t>No. SAQ's</t>
  </si>
  <si>
    <t xml:space="preserve">Discuss how Marfan syndrome influences your anaesthetic management for a patient requiring an urgent laparoscopic appendicectomy </t>
  </si>
  <si>
    <t xml:space="preserve">A 25-year-old male is scheduled for an elective inguinal hernia repair. He has a ventricular septal defect and was recently diagnosed with Eisenmenger syndrome. Discuss your preoperative assessment and how this affects your anaesthesia plan </t>
  </si>
  <si>
    <t xml:space="preserve">A patient on an organ transplantation waiting list is taking rivaroxaban for recurrent pulmonary emboli. Discuss your perioperative anticoagulation plan </t>
  </si>
  <si>
    <t xml:space="preserve">List the risk factors for perioperative stroke. (50%) Discuss the measures you use to minimise perioperative stroke in high-risk patients undergoing major orthopaedic surgery. (50%) </t>
  </si>
  <si>
    <t>% Total SAQ's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</si>
</sst>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2"/>
      <color theme="1"/>
      <name val="Calibri"/>
      <family val="2"/>
      <scheme val="minor"/>
    </font>
    <font>
      <b/>
      <sz val="14"/>
      <color theme="1"/>
      <name val="Times New Roman"/>
      <family val="1"/>
    </font>
    <font>
      <sz val="14"/>
      <color theme="1"/>
      <name val="Times New Roman"/>
      <family val="1"/>
    </font>
    <font>
      <b/>
      <sz val="18"/>
      <color theme="1"/>
      <name val="Times New Roman"/>
      <family val="1"/>
    </font>
    <font>
      <b/>
      <sz val="18"/>
      <color rgb="FFC00000"/>
      <name val="Times New Roman"/>
      <family val="1"/>
    </font>
    <font>
      <b/>
      <sz val="16"/>
      <color theme="1"/>
      <name val="Times New Roman"/>
      <family val="1"/>
    </font>
    <font>
      <sz val="12"/>
      <color theme="1"/>
      <name val="Times New Roman"/>
      <family val="1"/>
    </font>
    <font>
      <b/>
      <sz val="20"/>
      <color rgb="FFC00000"/>
      <name val="Times New Roman"/>
      <family val="1"/>
    </font>
    <font>
      <b/>
      <sz val="16"/>
      <color rgb="FFC00000"/>
      <name val="Times New Roman"/>
      <family val="1"/>
    </font>
    <font>
      <sz val="11"/>
      <color theme="1"/>
      <name val="Times New Roman"/>
      <family val="1"/>
    </font>
    <font>
      <sz val="16"/>
      <color theme="1"/>
      <name val="Times New Roman"/>
      <family val="1"/>
    </font>
    <font>
      <sz val="14"/>
      <name val="Times New Roman"/>
      <family val="1"/>
    </font>
    <font>
      <b/>
      <sz val="14"/>
      <color rgb="FFC00000"/>
      <name val="Times New Roman"/>
      <family val="1"/>
    </font>
    <font>
      <sz val="18"/>
      <color theme="1"/>
      <name val="Times New Roman"/>
      <family val="1"/>
    </font>
    <font>
      <b/>
      <sz val="22"/>
      <color theme="1"/>
      <name val="Times New Roman"/>
      <family val="1"/>
    </font>
    <font>
      <sz val="20"/>
      <color theme="1"/>
      <name val="Times New Roman"/>
      <family val="1"/>
    </font>
  </fonts>
  <fills count="5">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66">
    <xf numFmtId="0" fontId="0" fillId="0" borderId="0" xfId="0"/>
    <xf numFmtId="0" fontId="2" fillId="0" borderId="0" xfId="0" applyFont="1"/>
    <xf numFmtId="0" fontId="2" fillId="0" borderId="1" xfId="0" applyFont="1" applyBorder="1"/>
    <xf numFmtId="0" fontId="2" fillId="0" borderId="1" xfId="0" applyFont="1" applyBorder="1" applyAlignment="1"/>
    <xf numFmtId="0" fontId="2" fillId="0" borderId="2" xfId="0" applyFont="1" applyBorder="1"/>
    <xf numFmtId="0" fontId="2" fillId="0" borderId="1" xfId="0" applyFont="1" applyBorder="1" applyAlignment="1">
      <alignment vertical="top" wrapText="1"/>
    </xf>
    <xf numFmtId="0" fontId="2" fillId="0" borderId="0" xfId="0" applyFont="1" applyAlignment="1">
      <alignment horizontal="left" vertical="top"/>
    </xf>
    <xf numFmtId="0" fontId="2" fillId="0" borderId="0" xfId="0" applyFont="1" applyAlignment="1">
      <alignment horizontal="left"/>
    </xf>
    <xf numFmtId="0" fontId="2" fillId="0" borderId="8" xfId="0" applyFont="1" applyBorder="1"/>
    <xf numFmtId="0" fontId="2" fillId="0" borderId="3" xfId="0" applyFont="1" applyBorder="1"/>
    <xf numFmtId="0" fontId="2" fillId="0" borderId="3" xfId="0" applyFont="1" applyBorder="1" applyAlignment="1">
      <alignment vertical="top" wrapText="1"/>
    </xf>
    <xf numFmtId="1" fontId="2" fillId="0" borderId="0" xfId="0" applyNumberFormat="1" applyFont="1" applyAlignment="1">
      <alignment horizontal="left"/>
    </xf>
    <xf numFmtId="0" fontId="2" fillId="0" borderId="8" xfId="0" applyFont="1" applyBorder="1" applyAlignment="1">
      <alignment wrapText="1"/>
    </xf>
    <xf numFmtId="0" fontId="1" fillId="0" borderId="7" xfId="0" applyFont="1" applyBorder="1"/>
    <xf numFmtId="0" fontId="2" fillId="0" borderId="11" xfId="0" applyFont="1" applyBorder="1"/>
    <xf numFmtId="0" fontId="1" fillId="0" borderId="12" xfId="0" applyFont="1" applyBorder="1"/>
    <xf numFmtId="0" fontId="2" fillId="0" borderId="13" xfId="0" applyFont="1" applyBorder="1"/>
    <xf numFmtId="0" fontId="2" fillId="0" borderId="14" xfId="0" applyFont="1" applyBorder="1"/>
    <xf numFmtId="0" fontId="2" fillId="0" borderId="15" xfId="0" applyFont="1" applyBorder="1"/>
    <xf numFmtId="0" fontId="2" fillId="0" borderId="16" xfId="0" applyFont="1" applyBorder="1"/>
    <xf numFmtId="0" fontId="2" fillId="0" borderId="17" xfId="0" applyFont="1" applyBorder="1"/>
    <xf numFmtId="0" fontId="1" fillId="0" borderId="14" xfId="0" applyFont="1" applyBorder="1"/>
    <xf numFmtId="0" fontId="0" fillId="0" borderId="1" xfId="0" applyBorder="1" applyAlignment="1">
      <alignment vertical="top"/>
    </xf>
    <xf numFmtId="0" fontId="2" fillId="0" borderId="1" xfId="0" applyFont="1" applyBorder="1" applyAlignment="1">
      <alignment wrapText="1"/>
    </xf>
    <xf numFmtId="0" fontId="2" fillId="0" borderId="1" xfId="0" applyFont="1" applyBorder="1" applyAlignment="1">
      <alignment horizontal="left" vertical="top" wrapText="1"/>
    </xf>
    <xf numFmtId="0" fontId="2" fillId="0" borderId="1" xfId="0" applyFont="1" applyFill="1" applyBorder="1"/>
    <xf numFmtId="0" fontId="1" fillId="0" borderId="16" xfId="0" applyFont="1" applyBorder="1"/>
    <xf numFmtId="0" fontId="2" fillId="0" borderId="1" xfId="0" applyFont="1" applyBorder="1" applyAlignment="1">
      <alignment vertical="center"/>
    </xf>
    <xf numFmtId="0" fontId="6" fillId="0" borderId="0" xfId="0" applyFont="1"/>
    <xf numFmtId="0" fontId="6" fillId="0" borderId="1" xfId="0" applyFont="1" applyBorder="1"/>
    <xf numFmtId="0" fontId="6" fillId="0" borderId="0" xfId="0" quotePrefix="1" applyFont="1"/>
    <xf numFmtId="0" fontId="6" fillId="0" borderId="0" xfId="0" applyFont="1" applyAlignment="1">
      <alignment horizontal="left"/>
    </xf>
    <xf numFmtId="1" fontId="6" fillId="0" borderId="0" xfId="0" applyNumberFormat="1" applyFont="1" applyAlignment="1">
      <alignment horizontal="left"/>
    </xf>
    <xf numFmtId="0" fontId="2" fillId="0" borderId="15" xfId="0" applyFont="1" applyBorder="1" applyAlignment="1">
      <alignment wrapText="1"/>
    </xf>
    <xf numFmtId="0" fontId="1" fillId="0" borderId="11" xfId="0" applyFont="1" applyBorder="1"/>
    <xf numFmtId="0" fontId="2" fillId="0" borderId="1" xfId="0" applyFont="1" applyBorder="1" applyAlignment="1">
      <alignment vertical="top"/>
    </xf>
    <xf numFmtId="0" fontId="2" fillId="0" borderId="2" xfId="0" applyFont="1" applyBorder="1" applyAlignment="1">
      <alignment horizontal="left" vertical="top"/>
    </xf>
    <xf numFmtId="0" fontId="5" fillId="2" borderId="1" xfId="0" applyFont="1" applyFill="1" applyBorder="1" applyAlignment="1">
      <alignment horizontal="left" vertical="top"/>
    </xf>
    <xf numFmtId="0" fontId="1" fillId="4" borderId="1" xfId="0" applyFont="1" applyFill="1" applyBorder="1" applyAlignment="1">
      <alignment horizontal="left" vertical="top"/>
    </xf>
    <xf numFmtId="0" fontId="2" fillId="0" borderId="1" xfId="0" applyFont="1" applyBorder="1" applyAlignment="1">
      <alignment vertical="top"/>
    </xf>
    <xf numFmtId="0" fontId="2" fillId="0" borderId="1" xfId="0" applyFont="1" applyBorder="1" applyAlignment="1">
      <alignment horizontal="left" vertical="top"/>
    </xf>
    <xf numFmtId="0" fontId="2" fillId="0" borderId="1" xfId="0" applyFont="1" applyBorder="1" applyAlignment="1">
      <alignment vertical="top"/>
    </xf>
    <xf numFmtId="0" fontId="9" fillId="0" borderId="0" xfId="0" applyFont="1"/>
    <xf numFmtId="0" fontId="0" fillId="0" borderId="1" xfId="0" applyBorder="1" applyAlignment="1">
      <alignment vertical="center"/>
    </xf>
    <xf numFmtId="0" fontId="6" fillId="0" borderId="1" xfId="0" applyFont="1" applyBorder="1" applyAlignment="1">
      <alignment vertical="top"/>
    </xf>
    <xf numFmtId="0" fontId="0" fillId="0" borderId="2" xfId="0" applyBorder="1" applyAlignment="1">
      <alignment vertical="top"/>
    </xf>
    <xf numFmtId="0" fontId="2" fillId="0" borderId="8" xfId="0" applyFont="1" applyBorder="1" applyAlignment="1">
      <alignment vertical="top" wrapText="1"/>
    </xf>
    <xf numFmtId="0" fontId="2" fillId="0" borderId="3" xfId="0" applyFont="1" applyBorder="1" applyAlignment="1">
      <alignment wrapText="1"/>
    </xf>
    <xf numFmtId="0" fontId="6" fillId="0" borderId="2" xfId="0" applyFont="1" applyBorder="1"/>
    <xf numFmtId="0" fontId="6" fillId="0" borderId="1" xfId="0" applyFont="1" applyBorder="1" applyAlignment="1">
      <alignment vertical="center"/>
    </xf>
    <xf numFmtId="9" fontId="2" fillId="0" borderId="3" xfId="0" applyNumberFormat="1" applyFont="1" applyBorder="1"/>
    <xf numFmtId="0" fontId="2" fillId="0" borderId="0" xfId="0" applyFont="1" applyAlignment="1">
      <alignment vertical="top"/>
    </xf>
    <xf numFmtId="1" fontId="2" fillId="0" borderId="0" xfId="0" applyNumberFormat="1" applyFont="1" applyAlignment="1">
      <alignment horizontal="left" vertical="top"/>
    </xf>
    <xf numFmtId="0" fontId="2" fillId="0" borderId="3" xfId="0" applyFont="1" applyBorder="1" applyAlignment="1">
      <alignment vertical="top"/>
    </xf>
    <xf numFmtId="0" fontId="1" fillId="0" borderId="0" xfId="0" applyFont="1" applyAlignment="1">
      <alignment vertical="top"/>
    </xf>
    <xf numFmtId="0" fontId="10" fillId="0" borderId="1" xfId="0" applyFont="1" applyBorder="1" applyAlignment="1">
      <alignment vertical="top"/>
    </xf>
    <xf numFmtId="0" fontId="10" fillId="0" borderId="0" xfId="0" applyFont="1" applyAlignment="1">
      <alignment horizontal="left" vertical="top"/>
    </xf>
    <xf numFmtId="0" fontId="10" fillId="0" borderId="0" xfId="0" applyFont="1" applyAlignment="1">
      <alignment vertical="top"/>
    </xf>
    <xf numFmtId="0" fontId="10" fillId="0" borderId="1" xfId="0" applyFont="1" applyBorder="1" applyAlignment="1">
      <alignment vertical="top" wrapText="1"/>
    </xf>
    <xf numFmtId="1" fontId="10" fillId="0" borderId="0" xfId="0" applyNumberFormat="1" applyFont="1" applyAlignment="1">
      <alignment horizontal="left" vertical="top"/>
    </xf>
    <xf numFmtId="0" fontId="5" fillId="2" borderId="1" xfId="0" applyFont="1" applyFill="1" applyBorder="1" applyAlignment="1">
      <alignment vertical="top"/>
    </xf>
    <xf numFmtId="0" fontId="1" fillId="4" borderId="1" xfId="0" applyFont="1" applyFill="1" applyBorder="1" applyAlignment="1">
      <alignment vertical="top"/>
    </xf>
    <xf numFmtId="0" fontId="2" fillId="4" borderId="1" xfId="0" applyFont="1" applyFill="1" applyBorder="1" applyAlignment="1">
      <alignment horizontal="left" vertical="top"/>
    </xf>
    <xf numFmtId="0" fontId="2" fillId="0" borderId="5" xfId="0" applyFont="1" applyBorder="1" applyAlignment="1">
      <alignment horizontal="left" vertical="top"/>
    </xf>
    <xf numFmtId="0" fontId="2" fillId="0" borderId="2" xfId="0" applyFont="1" applyBorder="1" applyAlignment="1">
      <alignment horizontal="left" vertical="top"/>
    </xf>
    <xf numFmtId="0" fontId="2" fillId="0" borderId="1" xfId="0" applyFont="1" applyBorder="1" applyAlignment="1">
      <alignment horizontal="left" vertical="top"/>
    </xf>
    <xf numFmtId="0" fontId="2" fillId="0" borderId="1" xfId="0" applyFont="1" applyBorder="1" applyAlignment="1">
      <alignment horizontal="left"/>
    </xf>
    <xf numFmtId="0" fontId="2" fillId="0" borderId="5" xfId="0" applyFont="1" applyBorder="1" applyAlignment="1">
      <alignment horizontal="center" vertical="center"/>
    </xf>
    <xf numFmtId="0" fontId="2" fillId="0" borderId="1" xfId="0" applyFont="1" applyBorder="1" applyAlignment="1">
      <alignment vertical="top"/>
    </xf>
    <xf numFmtId="0" fontId="2" fillId="0" borderId="5" xfId="0" applyFont="1" applyBorder="1" applyAlignment="1">
      <alignment horizontal="left"/>
    </xf>
    <xf numFmtId="0" fontId="2" fillId="0" borderId="2" xfId="0" applyFont="1" applyBorder="1" applyAlignment="1">
      <alignment vertical="top"/>
    </xf>
    <xf numFmtId="0" fontId="11" fillId="0" borderId="0" xfId="0" applyFont="1" applyAlignment="1">
      <alignment vertical="top"/>
    </xf>
    <xf numFmtId="0" fontId="2" fillId="0" borderId="9" xfId="0" applyFont="1" applyBorder="1" applyAlignment="1">
      <alignment vertical="top" wrapText="1"/>
    </xf>
    <xf numFmtId="0" fontId="2" fillId="0" borderId="3" xfId="0" applyFont="1" applyBorder="1" applyAlignment="1">
      <alignment horizontal="left" vertical="top"/>
    </xf>
    <xf numFmtId="0" fontId="2" fillId="0" borderId="18" xfId="0" applyFont="1" applyBorder="1" applyAlignment="1">
      <alignment vertical="top"/>
    </xf>
    <xf numFmtId="0" fontId="6" fillId="0" borderId="2" xfId="0" applyFont="1" applyBorder="1" applyAlignment="1">
      <alignment vertical="top"/>
    </xf>
    <xf numFmtId="0" fontId="2" fillId="0" borderId="18" xfId="0" applyFont="1" applyBorder="1" applyAlignment="1">
      <alignment vertical="top" wrapText="1"/>
    </xf>
    <xf numFmtId="0" fontId="6" fillId="0" borderId="0" xfId="0" applyFont="1" applyAlignment="1">
      <alignment vertical="top"/>
    </xf>
    <xf numFmtId="0" fontId="11" fillId="0" borderId="1" xfId="0" applyFont="1" applyBorder="1" applyAlignment="1">
      <alignment vertical="top"/>
    </xf>
    <xf numFmtId="0" fontId="1" fillId="2" borderId="18" xfId="0" applyFont="1" applyFill="1" applyBorder="1" applyAlignment="1">
      <alignment vertical="top"/>
    </xf>
    <xf numFmtId="0" fontId="4" fillId="0" borderId="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1" fillId="2" borderId="1" xfId="0" applyFont="1" applyFill="1" applyBorder="1" applyAlignment="1">
      <alignment vertical="top"/>
    </xf>
    <xf numFmtId="0" fontId="0" fillId="2" borderId="2" xfId="0" applyFill="1" applyBorder="1" applyAlignment="1">
      <alignment vertical="top"/>
    </xf>
    <xf numFmtId="0" fontId="2" fillId="0" borderId="0" xfId="0" applyFont="1" applyBorder="1"/>
    <xf numFmtId="0" fontId="2" fillId="0" borderId="0" xfId="0" applyFont="1" applyBorder="1" applyAlignment="1">
      <alignment vertical="center"/>
    </xf>
    <xf numFmtId="0" fontId="2" fillId="0" borderId="0" xfId="0" applyFont="1" applyBorder="1" applyAlignment="1">
      <alignment vertical="top"/>
    </xf>
    <xf numFmtId="0" fontId="5" fillId="0" borderId="0" xfId="0" applyFont="1" applyFill="1" applyBorder="1" applyAlignment="1">
      <alignment vertical="top"/>
    </xf>
    <xf numFmtId="0" fontId="2" fillId="0" borderId="0" xfId="0" applyFont="1" applyFill="1" applyBorder="1" applyAlignment="1">
      <alignment vertical="top"/>
    </xf>
    <xf numFmtId="0" fontId="2" fillId="0" borderId="0" xfId="0" applyFont="1" applyBorder="1" applyAlignment="1">
      <alignment horizontal="left" vertical="top"/>
    </xf>
    <xf numFmtId="1" fontId="2" fillId="0" borderId="0" xfId="0" applyNumberFormat="1" applyFont="1" applyBorder="1" applyAlignment="1">
      <alignment horizontal="left" vertical="top"/>
    </xf>
    <xf numFmtId="0" fontId="3" fillId="0" borderId="1" xfId="0" applyFont="1" applyBorder="1"/>
    <xf numFmtId="0" fontId="14" fillId="0" borderId="2" xfId="0" applyFont="1" applyFill="1" applyBorder="1"/>
    <xf numFmtId="0" fontId="13" fillId="0" borderId="2" xfId="0" applyFont="1" applyBorder="1" applyAlignment="1">
      <alignment horizontal="center"/>
    </xf>
    <xf numFmtId="1" fontId="13" fillId="0" borderId="2" xfId="0" applyNumberFormat="1" applyFont="1" applyBorder="1" applyAlignment="1">
      <alignment horizontal="center"/>
    </xf>
    <xf numFmtId="0" fontId="3" fillId="0" borderId="24" xfId="0" applyFont="1" applyBorder="1"/>
    <xf numFmtId="0" fontId="3" fillId="0" borderId="2" xfId="0" applyFont="1" applyBorder="1"/>
    <xf numFmtId="0" fontId="13" fillId="0" borderId="24" xfId="0" applyFont="1" applyBorder="1"/>
    <xf numFmtId="0" fontId="14" fillId="0" borderId="24" xfId="0" applyFont="1" applyBorder="1" applyAlignment="1">
      <alignment horizontal="center"/>
    </xf>
    <xf numFmtId="0" fontId="15" fillId="0" borderId="2" xfId="0" applyFont="1" applyBorder="1" applyAlignment="1">
      <alignment horizontal="center"/>
    </xf>
    <xf numFmtId="1" fontId="15" fillId="0" borderId="2" xfId="0" applyNumberFormat="1" applyFont="1" applyBorder="1" applyAlignment="1">
      <alignment horizontal="center"/>
    </xf>
    <xf numFmtId="0" fontId="15" fillId="0" borderId="1" xfId="0" applyFont="1" applyBorder="1" applyAlignment="1">
      <alignment horizontal="center"/>
    </xf>
    <xf numFmtId="1" fontId="15" fillId="0" borderId="1" xfId="0" applyNumberFormat="1" applyFont="1" applyBorder="1" applyAlignment="1">
      <alignment horizontal="center"/>
    </xf>
    <xf numFmtId="0" fontId="15" fillId="0" borderId="24" xfId="0" applyFont="1" applyBorder="1" applyAlignment="1">
      <alignment horizontal="center"/>
    </xf>
    <xf numFmtId="1" fontId="15" fillId="0" borderId="24" xfId="0" applyNumberFormat="1" applyFont="1" applyBorder="1" applyAlignment="1">
      <alignment horizontal="center"/>
    </xf>
    <xf numFmtId="0" fontId="1" fillId="2" borderId="3" xfId="0" applyFont="1" applyFill="1" applyBorder="1" applyAlignment="1">
      <alignment horizontal="left" vertical="top"/>
    </xf>
    <xf numFmtId="0" fontId="1" fillId="2" borderId="18" xfId="0" applyFont="1" applyFill="1" applyBorder="1" applyAlignment="1">
      <alignment horizontal="left" vertical="top"/>
    </xf>
    <xf numFmtId="0" fontId="1" fillId="2" borderId="4" xfId="0" applyFont="1" applyFill="1" applyBorder="1" applyAlignment="1">
      <alignment horizontal="left" vertical="top"/>
    </xf>
    <xf numFmtId="0" fontId="4" fillId="0" borderId="8" xfId="0" applyFont="1" applyBorder="1" applyAlignment="1">
      <alignment horizontal="center" vertical="top"/>
    </xf>
    <xf numFmtId="0" fontId="4" fillId="0" borderId="19" xfId="0" applyFont="1" applyBorder="1" applyAlignment="1">
      <alignment horizontal="center" vertical="top"/>
    </xf>
    <xf numFmtId="0" fontId="4" fillId="0" borderId="6" xfId="0" applyFont="1" applyBorder="1" applyAlignment="1">
      <alignment horizontal="center" vertical="top"/>
    </xf>
    <xf numFmtId="0" fontId="1" fillId="2" borderId="1" xfId="0" applyFont="1" applyFill="1" applyBorder="1" applyAlignment="1">
      <alignment horizontal="left" vertical="top"/>
    </xf>
    <xf numFmtId="0" fontId="1" fillId="3" borderId="3" xfId="0" applyFont="1" applyFill="1" applyBorder="1" applyAlignment="1">
      <alignment horizontal="left" vertical="top"/>
    </xf>
    <xf numFmtId="0" fontId="1" fillId="3" borderId="18" xfId="0" applyFont="1" applyFill="1" applyBorder="1" applyAlignment="1">
      <alignment horizontal="left" vertical="top"/>
    </xf>
    <xf numFmtId="0" fontId="1" fillId="3" borderId="4" xfId="0" applyFont="1" applyFill="1" applyBorder="1" applyAlignment="1">
      <alignment horizontal="left" vertical="top"/>
    </xf>
    <xf numFmtId="0" fontId="4" fillId="0" borderId="20" xfId="0" applyFont="1" applyBorder="1" applyAlignment="1">
      <alignment horizontal="center" vertical="top"/>
    </xf>
    <xf numFmtId="0" fontId="1" fillId="3" borderId="1" xfId="0" applyFont="1" applyFill="1" applyBorder="1" applyAlignment="1">
      <alignment horizontal="left" vertical="top"/>
    </xf>
    <xf numFmtId="0" fontId="5" fillId="2" borderId="1" xfId="0" applyFont="1" applyFill="1" applyBorder="1" applyAlignment="1">
      <alignment horizontal="left" vertical="top"/>
    </xf>
    <xf numFmtId="0" fontId="1" fillId="4" borderId="3" xfId="0" applyFont="1" applyFill="1" applyBorder="1" applyAlignment="1">
      <alignment horizontal="left" vertical="top"/>
    </xf>
    <xf numFmtId="0" fontId="1" fillId="4" borderId="18" xfId="0" applyFont="1" applyFill="1" applyBorder="1" applyAlignment="1">
      <alignment horizontal="left" vertical="top"/>
    </xf>
    <xf numFmtId="0" fontId="1" fillId="4" borderId="4" xfId="0" applyFont="1" applyFill="1" applyBorder="1" applyAlignment="1">
      <alignment horizontal="left" vertical="top"/>
    </xf>
    <xf numFmtId="0" fontId="4" fillId="0" borderId="10" xfId="0" applyFont="1" applyBorder="1" applyAlignment="1">
      <alignment horizontal="center"/>
    </xf>
    <xf numFmtId="0" fontId="4" fillId="0" borderId="0" xfId="0" applyFont="1" applyBorder="1" applyAlignment="1">
      <alignment horizontal="center"/>
    </xf>
    <xf numFmtId="0" fontId="4" fillId="0" borderId="21" xfId="0" applyFont="1" applyBorder="1" applyAlignment="1">
      <alignment horizontal="center"/>
    </xf>
    <xf numFmtId="0" fontId="1" fillId="2" borderId="1" xfId="0" applyFont="1" applyFill="1" applyBorder="1" applyAlignment="1">
      <alignment horizontal="left"/>
    </xf>
    <xf numFmtId="0" fontId="1" fillId="4" borderId="1" xfId="0" applyFont="1" applyFill="1" applyBorder="1" applyAlignment="1">
      <alignment horizontal="left" vertical="top"/>
    </xf>
    <xf numFmtId="0" fontId="12" fillId="0" borderId="1" xfId="0" applyFont="1" applyBorder="1" applyAlignment="1">
      <alignment horizontal="center" vertical="top"/>
    </xf>
    <xf numFmtId="0" fontId="4" fillId="0" borderId="1" xfId="0" applyFont="1" applyBorder="1" applyAlignment="1">
      <alignment horizontal="center"/>
    </xf>
    <xf numFmtId="0" fontId="3" fillId="0" borderId="1" xfId="0" applyFont="1" applyBorder="1" applyAlignment="1">
      <alignment horizontal="center"/>
    </xf>
    <xf numFmtId="0" fontId="1" fillId="2" borderId="3" xfId="0" applyFont="1" applyFill="1" applyBorder="1" applyAlignment="1">
      <alignment horizontal="left"/>
    </xf>
    <xf numFmtId="0" fontId="1" fillId="2" borderId="18" xfId="0" applyFont="1" applyFill="1" applyBorder="1" applyAlignment="1">
      <alignment horizontal="left"/>
    </xf>
    <xf numFmtId="0" fontId="1" fillId="2" borderId="4" xfId="0" applyFont="1" applyFill="1" applyBorder="1" applyAlignment="1">
      <alignment horizontal="left"/>
    </xf>
    <xf numFmtId="0" fontId="12" fillId="0" borderId="8" xfId="0" applyFont="1" applyBorder="1" applyAlignment="1">
      <alignment horizontal="center"/>
    </xf>
    <xf numFmtId="0" fontId="12" fillId="0" borderId="19" xfId="0" applyFont="1" applyBorder="1" applyAlignment="1">
      <alignment horizontal="center"/>
    </xf>
    <xf numFmtId="0" fontId="12" fillId="0" borderId="20" xfId="0" applyFont="1" applyBorder="1" applyAlignment="1">
      <alignment horizontal="center"/>
    </xf>
    <xf numFmtId="0" fontId="4" fillId="0" borderId="1" xfId="0" applyFont="1" applyBorder="1" applyAlignment="1">
      <alignment horizontal="center" vertical="top"/>
    </xf>
    <xf numFmtId="0" fontId="5" fillId="2" borderId="1" xfId="0" applyFont="1" applyFill="1" applyBorder="1" applyAlignment="1">
      <alignment horizontal="left"/>
    </xf>
    <xf numFmtId="0" fontId="1" fillId="4" borderId="1" xfId="0" applyFont="1" applyFill="1" applyBorder="1" applyAlignment="1">
      <alignment horizontal="left"/>
    </xf>
    <xf numFmtId="0" fontId="4" fillId="0" borderId="3" xfId="0" applyFont="1" applyBorder="1" applyAlignment="1">
      <alignment horizontal="center" vertical="top"/>
    </xf>
    <xf numFmtId="0" fontId="4" fillId="0" borderId="18" xfId="0" applyFont="1" applyBorder="1" applyAlignment="1">
      <alignment horizontal="center" vertical="top"/>
    </xf>
    <xf numFmtId="0" fontId="4" fillId="0" borderId="4" xfId="0" applyFont="1" applyBorder="1" applyAlignment="1">
      <alignment horizontal="center" vertical="top"/>
    </xf>
    <xf numFmtId="0" fontId="5" fillId="2" borderId="3" xfId="0" applyFont="1" applyFill="1" applyBorder="1" applyAlignment="1">
      <alignment horizontal="left" vertical="top"/>
    </xf>
    <xf numFmtId="0" fontId="5" fillId="2" borderId="18" xfId="0" applyFont="1" applyFill="1" applyBorder="1" applyAlignment="1">
      <alignment horizontal="left" vertical="top"/>
    </xf>
    <xf numFmtId="0" fontId="5" fillId="2" borderId="4" xfId="0" applyFont="1" applyFill="1" applyBorder="1" applyAlignment="1">
      <alignment horizontal="left" vertical="top"/>
    </xf>
    <xf numFmtId="0" fontId="7" fillId="0" borderId="3" xfId="0" applyFont="1" applyBorder="1" applyAlignment="1">
      <alignment horizontal="center" vertical="top"/>
    </xf>
    <xf numFmtId="0" fontId="7" fillId="0" borderId="18" xfId="0" applyFont="1" applyBorder="1" applyAlignment="1">
      <alignment horizontal="center" vertical="top"/>
    </xf>
    <xf numFmtId="0" fontId="7" fillId="0" borderId="4" xfId="0" applyFont="1" applyBorder="1" applyAlignment="1">
      <alignment horizontal="center" vertical="top"/>
    </xf>
    <xf numFmtId="0" fontId="4" fillId="0" borderId="3" xfId="0" applyFont="1" applyBorder="1" applyAlignment="1">
      <alignment horizontal="center"/>
    </xf>
    <xf numFmtId="0" fontId="4" fillId="0" borderId="18" xfId="0" applyFont="1" applyBorder="1" applyAlignment="1">
      <alignment horizontal="center"/>
    </xf>
    <xf numFmtId="0" fontId="4" fillId="0" borderId="4" xfId="0" applyFont="1" applyBorder="1" applyAlignment="1">
      <alignment horizontal="center"/>
    </xf>
    <xf numFmtId="0" fontId="5" fillId="2" borderId="3" xfId="0" applyFont="1" applyFill="1" applyBorder="1" applyAlignment="1">
      <alignment horizontal="left"/>
    </xf>
    <xf numFmtId="0" fontId="5" fillId="2" borderId="18" xfId="0" applyFont="1" applyFill="1" applyBorder="1" applyAlignment="1">
      <alignment horizontal="left"/>
    </xf>
    <xf numFmtId="0" fontId="5" fillId="2" borderId="4" xfId="0" applyFont="1" applyFill="1" applyBorder="1" applyAlignment="1">
      <alignment horizontal="left"/>
    </xf>
    <xf numFmtId="0" fontId="8" fillId="2" borderId="3" xfId="0" applyFont="1" applyFill="1" applyBorder="1" applyAlignment="1">
      <alignment horizontal="left" vertical="top"/>
    </xf>
    <xf numFmtId="0" fontId="8" fillId="2" borderId="18" xfId="0" applyFont="1" applyFill="1" applyBorder="1" applyAlignment="1">
      <alignment horizontal="left" vertical="top"/>
    </xf>
    <xf numFmtId="0" fontId="8" fillId="2" borderId="4" xfId="0" applyFont="1" applyFill="1" applyBorder="1" applyAlignment="1">
      <alignment horizontal="left" vertical="top"/>
    </xf>
    <xf numFmtId="0" fontId="8" fillId="2" borderId="9" xfId="0" applyFont="1" applyFill="1" applyBorder="1" applyAlignment="1">
      <alignment horizontal="left" vertical="top"/>
    </xf>
    <xf numFmtId="0" fontId="8" fillId="2" borderId="22" xfId="0" applyFont="1" applyFill="1" applyBorder="1" applyAlignment="1">
      <alignment horizontal="left" vertical="top"/>
    </xf>
    <xf numFmtId="0" fontId="8" fillId="2" borderId="23" xfId="0" applyFont="1" applyFill="1" applyBorder="1" applyAlignment="1">
      <alignment horizontal="left" vertical="top"/>
    </xf>
    <xf numFmtId="0" fontId="8" fillId="0" borderId="1" xfId="0" applyFont="1" applyBorder="1" applyAlignment="1">
      <alignment horizontal="center" vertical="top"/>
    </xf>
    <xf numFmtId="0" fontId="2" fillId="0" borderId="18" xfId="0" applyFont="1" applyBorder="1" applyAlignment="1">
      <alignment horizontal="center"/>
    </xf>
    <xf numFmtId="0" fontId="2" fillId="0" borderId="4" xfId="0" applyFont="1" applyBorder="1" applyAlignment="1">
      <alignment horizontal="center"/>
    </xf>
    <xf numFmtId="0" fontId="1" fillId="4" borderId="3" xfId="0" applyFont="1" applyFill="1" applyBorder="1" applyAlignment="1">
      <alignment horizontal="left"/>
    </xf>
    <xf numFmtId="0" fontId="1" fillId="4" borderId="18" xfId="0" applyFont="1" applyFill="1" applyBorder="1" applyAlignment="1">
      <alignment horizontal="left"/>
    </xf>
    <xf numFmtId="0" fontId="1" fillId="4" borderId="4"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sz="2800">
                <a:latin typeface="Times New Roman" panose="02020603050405020304" pitchFamily="18" charset="0"/>
                <a:cs typeface="Times New Roman" panose="02020603050405020304" pitchFamily="18" charset="0"/>
              </a:rPr>
              <a:t>Percentage FEx SAQ's Completed</a:t>
            </a:r>
          </a:p>
        </c:rich>
      </c:tx>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tx>
            <c:strRef>
              <c:f>Progress!$D$1</c:f>
              <c:strCache>
                <c:ptCount val="1"/>
                <c:pt idx="0">
                  <c:v>% Complete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Progress!$A$2:$A$22</c:f>
              <c:strCache>
                <c:ptCount val="21"/>
                <c:pt idx="0">
                  <c:v>Airway Mx</c:v>
                </c:pt>
                <c:pt idx="1">
                  <c:v>GA + Sedation</c:v>
                </c:pt>
                <c:pt idx="2">
                  <c:v>Pain</c:v>
                </c:pt>
                <c:pt idx="3">
                  <c:v>Periop Med</c:v>
                </c:pt>
                <c:pt idx="4">
                  <c:v>Regional + LA</c:v>
                </c:pt>
                <c:pt idx="5">
                  <c:v>Resus, Trauma + Crisis Mx</c:v>
                </c:pt>
                <c:pt idx="6">
                  <c:v>Safety + Quality</c:v>
                </c:pt>
                <c:pt idx="7">
                  <c:v>Roles in Practice</c:v>
                </c:pt>
                <c:pt idx="8">
                  <c:v>Cardiac</c:v>
                </c:pt>
                <c:pt idx="9">
                  <c:v>Gsurg+Uro+Gyn+Endo</c:v>
                </c:pt>
                <c:pt idx="10">
                  <c:v>ENT+MF+Dent+ECT</c:v>
                </c:pt>
                <c:pt idx="11">
                  <c:v>ICU</c:v>
                </c:pt>
                <c:pt idx="12">
                  <c:v>NSurg+Nrad</c:v>
                </c:pt>
                <c:pt idx="13">
                  <c:v>OBS</c:v>
                </c:pt>
                <c:pt idx="14">
                  <c:v>OPHTHAL</c:v>
                </c:pt>
                <c:pt idx="15">
                  <c:v>ORTHO</c:v>
                </c:pt>
                <c:pt idx="16">
                  <c:v>PAEDS</c:v>
                </c:pt>
                <c:pt idx="17">
                  <c:v>Plastics + Burns</c:v>
                </c:pt>
                <c:pt idx="18">
                  <c:v>Thoracics</c:v>
                </c:pt>
                <c:pt idx="19">
                  <c:v>VASC+IntRad</c:v>
                </c:pt>
                <c:pt idx="20">
                  <c:v>Overall</c:v>
                </c:pt>
              </c:strCache>
            </c:strRef>
          </c:cat>
          <c:val>
            <c:numRef>
              <c:f>Progress!$D$2:$D$22</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E27B-8D4D-A7C9-ADF17714176C}"/>
            </c:ext>
          </c:extLst>
        </c:ser>
        <c:dLbls>
          <c:dLblPos val="inEnd"/>
          <c:showLegendKey val="0"/>
          <c:showVal val="1"/>
          <c:showCatName val="0"/>
          <c:showSerName val="0"/>
          <c:showPercent val="0"/>
          <c:showBubbleSize val="0"/>
        </c:dLbls>
        <c:gapWidth val="115"/>
        <c:overlap val="-20"/>
        <c:axId val="1532690383"/>
        <c:axId val="1532692015"/>
      </c:barChart>
      <c:catAx>
        <c:axId val="153269038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crossAx val="1532692015"/>
        <c:crosses val="autoZero"/>
        <c:auto val="1"/>
        <c:lblAlgn val="ctr"/>
        <c:lblOffset val="100"/>
        <c:noMultiLvlLbl val="0"/>
      </c:catAx>
      <c:valAx>
        <c:axId val="1532692015"/>
        <c:scaling>
          <c:orientation val="minMax"/>
          <c:max val="100"/>
        </c:scaling>
        <c:delete val="0"/>
        <c:axPos val="b"/>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crossAx val="1532690383"/>
        <c:crosses val="autoZero"/>
        <c:crossBetween val="between"/>
        <c:majorUnit val="10"/>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D$3" lockText="1" noThreeD="1"/>
</file>

<file path=xl/ctrlProps/ctrlProp2.xml><?xml version="1.0" encoding="utf-8"?>
<formControlPr xmlns="http://schemas.microsoft.com/office/spreadsheetml/2009/9/main" objectType="CheckBox" fmlaLink="$D$4" lockText="1" noThreeD="1"/>
</file>

<file path=xl/ctrlProps/ctrlProp3.xml><?xml version="1.0" encoding="utf-8"?>
<formControlPr xmlns="http://schemas.microsoft.com/office/spreadsheetml/2009/9/main" objectType="CheckBox" fmlaLink="$D$5" lockText="1" noThreeD="1"/>
</file>

<file path=xl/ctrlProps/ctrlProp4.xml><?xml version="1.0" encoding="utf-8"?>
<formControlPr xmlns="http://schemas.microsoft.com/office/spreadsheetml/2009/9/main" objectType="CheckBox" fmlaLink="$D$6" lockText="1" noThreeD="1"/>
</file>

<file path=xl/ctrlProps/ctrlProp5.xml><?xml version="1.0" encoding="utf-8"?>
<formControlPr xmlns="http://schemas.microsoft.com/office/spreadsheetml/2009/9/main" objectType="CheckBox" fmlaLink="$D$7" lockText="1" noThreeD="1"/>
</file>

<file path=xl/ctrlProps/ctrlProp6.xml><?xml version="1.0" encoding="utf-8"?>
<formControlPr xmlns="http://schemas.microsoft.com/office/spreadsheetml/2009/9/main" objectType="CheckBox" fmlaLink="$D$8" lockText="1" noThreeD="1"/>
</file>

<file path=xl/ctrlProps/ctrlProp7.xml><?xml version="1.0" encoding="utf-8"?>
<formControlPr xmlns="http://schemas.microsoft.com/office/spreadsheetml/2009/9/main" objectType="CheckBox" fmlaLink="$D$9" lockText="1" noThreeD="1"/>
</file>

<file path=xl/ctrlProps/ctrlProp8.xml><?xml version="1.0" encoding="utf-8"?>
<formControlPr xmlns="http://schemas.microsoft.com/office/spreadsheetml/2009/9/main" objectType="CheckBox" fmlaLink="$D$10" lockText="1" noThreeD="1"/>
</file>

<file path=xl/ctrlProps/ctrlProp9.xml><?xml version="1.0" encoding="utf-8"?>
<formControlPr xmlns="http://schemas.microsoft.com/office/spreadsheetml/2009/9/main" objectType="CheckBox" fmlaLink="$D$11" lockText="1" noThreeD="1"/>
</file>

<file path=xl/ctrlProps/ctrlProp10.xml><?xml version="1.0" encoding="utf-8"?>
<formControlPr xmlns="http://schemas.microsoft.com/office/spreadsheetml/2009/9/main" objectType="CheckBox" fmlaLink="$D$13" lockText="1" noThreeD="1"/>
</file>

<file path=xl/ctrlProps/ctrlProp11.xml><?xml version="1.0" encoding="utf-8"?>
<formControlPr xmlns="http://schemas.microsoft.com/office/spreadsheetml/2009/9/main" objectType="CheckBox" fmlaLink="$D$14" lockText="1" noThreeD="1"/>
</file>

<file path=xl/ctrlProps/ctrlProp12.xml><?xml version="1.0" encoding="utf-8"?>
<formControlPr xmlns="http://schemas.microsoft.com/office/spreadsheetml/2009/9/main" objectType="CheckBox" fmlaLink="$D$15" lockText="1" noThreeD="1"/>
</file>

<file path=xl/ctrlProps/ctrlProp13.xml><?xml version="1.0" encoding="utf-8"?>
<formControlPr xmlns="http://schemas.microsoft.com/office/spreadsheetml/2009/9/main" objectType="CheckBox" fmlaLink="$D$16" lockText="1" noThreeD="1"/>
</file>

<file path=xl/ctrlProps/ctrlProp14.xml><?xml version="1.0" encoding="utf-8"?>
<formControlPr xmlns="http://schemas.microsoft.com/office/spreadsheetml/2009/9/main" objectType="CheckBox" fmlaLink="$D$18" lockText="1" noThreeD="1"/>
</file>

<file path=xl/ctrlProps/ctrlProp15.xml><?xml version="1.0" encoding="utf-8"?>
<formControlPr xmlns="http://schemas.microsoft.com/office/spreadsheetml/2009/9/main" objectType="CheckBox" fmlaLink="$D$19" lockText="1" noThreeD="1"/>
</file>

<file path=xl/ctrlProps/ctrlProp16.xml><?xml version="1.0" encoding="utf-8"?>
<formControlPr xmlns="http://schemas.microsoft.com/office/spreadsheetml/2009/9/main" objectType="CheckBox" fmlaLink="$D$20" lockText="1" noThreeD="1"/>
</file>

<file path=xl/ctrlProps/ctrlProp17.xml><?xml version="1.0" encoding="utf-8"?>
<formControlPr xmlns="http://schemas.microsoft.com/office/spreadsheetml/2009/9/main" objectType="CheckBox" fmlaLink="$D$21" lockText="1" noThreeD="1"/>
</file>

<file path=xl/ctrlProps/ctrlProp18.xml><?xml version="1.0" encoding="utf-8"?>
<formControlPr xmlns="http://schemas.microsoft.com/office/spreadsheetml/2009/9/main" objectType="CheckBox" fmlaLink="$D$22" lockText="1" noThreeD="1"/>
</file>

<file path=xl/ctrlProps/ctrlProp19.xml><?xml version="1.0" encoding="utf-8"?>
<formControlPr xmlns="http://schemas.microsoft.com/office/spreadsheetml/2009/9/main" objectType="CheckBox" fmlaLink="$D$23" lockText="1" noThreeD="1"/>
</file>

<file path=xl/ctrlProps/ctrlProp20.xml><?xml version="1.0" encoding="utf-8"?>
<formControlPr xmlns="http://schemas.microsoft.com/office/spreadsheetml/2009/9/main" objectType="CheckBox" fmlaLink="$D$25" lockText="1" noThreeD="1"/>
</file>

<file path=xl/ctrlProps/ctrlProp21.xml><?xml version="1.0" encoding="utf-8"?>
<formControlPr xmlns="http://schemas.microsoft.com/office/spreadsheetml/2009/9/main" objectType="CheckBox" fmlaLink="$D$3" lockText="1" noThreeD="1"/>
</file>

<file path=xl/ctrlProps/ctrlProp22.xml><?xml version="1.0" encoding="utf-8"?>
<formControlPr xmlns="http://schemas.microsoft.com/office/spreadsheetml/2009/9/main" objectType="CheckBox" fmlaLink="$D$4" lockText="1" noThreeD="1"/>
</file>

<file path=xl/ctrlProps/ctrlProp23.xml><?xml version="1.0" encoding="utf-8"?>
<formControlPr xmlns="http://schemas.microsoft.com/office/spreadsheetml/2009/9/main" objectType="CheckBox" fmlaLink="$D$5" lockText="1" noThreeD="1"/>
</file>

<file path=xl/ctrlProps/ctrlProp24.xml><?xml version="1.0" encoding="utf-8"?>
<formControlPr xmlns="http://schemas.microsoft.com/office/spreadsheetml/2009/9/main" objectType="CheckBox" fmlaLink="$D$6" lockText="1" noThreeD="1"/>
</file>

<file path=xl/ctrlProps/ctrlProp25.xml><?xml version="1.0" encoding="utf-8"?>
<formControlPr xmlns="http://schemas.microsoft.com/office/spreadsheetml/2009/9/main" objectType="CheckBox" fmlaLink="$D$7" lockText="1" noThreeD="1"/>
</file>

<file path=xl/ctrlProps/ctrlProp26.xml><?xml version="1.0" encoding="utf-8"?>
<formControlPr xmlns="http://schemas.microsoft.com/office/spreadsheetml/2009/9/main" objectType="CheckBox" fmlaLink="$D$9" lockText="1" noThreeD="1"/>
</file>

<file path=xl/ctrlProps/ctrlProp27.xml><?xml version="1.0" encoding="utf-8"?>
<formControlPr xmlns="http://schemas.microsoft.com/office/spreadsheetml/2009/9/main" objectType="CheckBox" fmlaLink="$D$10" lockText="1" noThreeD="1"/>
</file>

<file path=xl/ctrlProps/ctrlProp28.xml><?xml version="1.0" encoding="utf-8"?>
<formControlPr xmlns="http://schemas.microsoft.com/office/spreadsheetml/2009/9/main" objectType="CheckBox" fmlaLink="$D$11" lockText="1" noThreeD="1"/>
</file>

<file path=xl/ctrlProps/ctrlProp29.xml><?xml version="1.0" encoding="utf-8"?>
<formControlPr xmlns="http://schemas.microsoft.com/office/spreadsheetml/2009/9/main" objectType="CheckBox" fmlaLink="$D$12" lockText="1" noThreeD="1"/>
</file>

<file path=xl/ctrlProps/ctrlProp30.xml><?xml version="1.0" encoding="utf-8"?>
<formControlPr xmlns="http://schemas.microsoft.com/office/spreadsheetml/2009/9/main" objectType="CheckBox" fmlaLink="$D$13" lockText="1" noThreeD="1"/>
</file>

<file path=xl/ctrlProps/ctrlProp31.xml><?xml version="1.0" encoding="utf-8"?>
<formControlPr xmlns="http://schemas.microsoft.com/office/spreadsheetml/2009/9/main" objectType="CheckBox" fmlaLink="$D$15" lockText="1" noThreeD="1"/>
</file>

<file path=xl/ctrlProps/ctrlProp32.xml><?xml version="1.0" encoding="utf-8"?>
<formControlPr xmlns="http://schemas.microsoft.com/office/spreadsheetml/2009/9/main" objectType="CheckBox" fmlaLink="$D$16" lockText="1" noThreeD="1"/>
</file>

<file path=xl/ctrlProps/ctrlProp33.xml><?xml version="1.0" encoding="utf-8"?>
<formControlPr xmlns="http://schemas.microsoft.com/office/spreadsheetml/2009/9/main" objectType="CheckBox" fmlaLink="$D$17" lockText="1" noThreeD="1"/>
</file>

<file path=xl/ctrlProps/ctrlProp34.xml><?xml version="1.0" encoding="utf-8"?>
<formControlPr xmlns="http://schemas.microsoft.com/office/spreadsheetml/2009/9/main" objectType="CheckBox" fmlaLink="$D$18" lockText="1" noThreeD="1"/>
</file>

<file path=xl/ctrlProps/ctrlProp35.xml><?xml version="1.0" encoding="utf-8"?>
<formControlPr xmlns="http://schemas.microsoft.com/office/spreadsheetml/2009/9/main" objectType="CheckBox" fmlaLink="$D$19" lockText="1" noThreeD="1"/>
</file>

<file path=xl/ctrlProps/ctrlProp36.xml><?xml version="1.0" encoding="utf-8"?>
<formControlPr xmlns="http://schemas.microsoft.com/office/spreadsheetml/2009/9/main" objectType="CheckBox" fmlaLink="$D$21" lockText="1" noThreeD="1"/>
</file>

<file path=xl/ctrlProps/ctrlProp37.xml><?xml version="1.0" encoding="utf-8"?>
<formControlPr xmlns="http://schemas.microsoft.com/office/spreadsheetml/2009/9/main" objectType="CheckBox" fmlaLink="$D$22" lockText="1" noThreeD="1"/>
</file>

<file path=xl/ctrlProps/ctrlProp38.xml><?xml version="1.0" encoding="utf-8"?>
<formControlPr xmlns="http://schemas.microsoft.com/office/spreadsheetml/2009/9/main" objectType="CheckBox" fmlaLink="$D$23" lockText="1" noThreeD="1"/>
</file>

<file path=xl/ctrlProps/ctrlProp39.xml><?xml version="1.0" encoding="utf-8"?>
<formControlPr xmlns="http://schemas.microsoft.com/office/spreadsheetml/2009/9/main" objectType="CheckBox" fmlaLink="$D$24" lockText="1" noThreeD="1"/>
</file>

<file path=xl/ctrlProps/ctrlProp40.xml><?xml version="1.0" encoding="utf-8"?>
<formControlPr xmlns="http://schemas.microsoft.com/office/spreadsheetml/2009/9/main" objectType="CheckBox" fmlaLink="$D$25" lockText="1" noThreeD="1"/>
</file>

<file path=xl/ctrlProps/ctrlProp41.xml><?xml version="1.0" encoding="utf-8"?>
<formControlPr xmlns="http://schemas.microsoft.com/office/spreadsheetml/2009/9/main" objectType="CheckBox" fmlaLink="$D$26" lockText="1" noThreeD="1"/>
</file>

<file path=xl/ctrlProps/ctrlProp42.xml><?xml version="1.0" encoding="utf-8"?>
<formControlPr xmlns="http://schemas.microsoft.com/office/spreadsheetml/2009/9/main" objectType="CheckBox" fmlaLink="$D$4" lockText="1" noThreeD="1"/>
</file>

<file path=xl/ctrlProps/ctrlProp43.xml><?xml version="1.0" encoding="utf-8"?>
<formControlPr xmlns="http://schemas.microsoft.com/office/spreadsheetml/2009/9/main" objectType="CheckBox" fmlaLink="$D$5" lockText="1" noThreeD="1"/>
</file>

<file path=xl/ctrlProps/ctrlProp44.xml><?xml version="1.0" encoding="utf-8"?>
<formControlPr xmlns="http://schemas.microsoft.com/office/spreadsheetml/2009/9/main" objectType="CheckBox" fmlaLink="$D$6" lockText="1" noThreeD="1"/>
</file>

<file path=xl/ctrlProps/ctrlProp45.xml><?xml version="1.0" encoding="utf-8"?>
<formControlPr xmlns="http://schemas.microsoft.com/office/spreadsheetml/2009/9/main" objectType="CheckBox" fmlaLink="$D$7" lockText="1" noThreeD="1"/>
</file>

<file path=xl/ctrlProps/ctrlProp46.xml><?xml version="1.0" encoding="utf-8"?>
<formControlPr xmlns="http://schemas.microsoft.com/office/spreadsheetml/2009/9/main" objectType="CheckBox" fmlaLink="$D$8" lockText="1" noThreeD="1"/>
</file>

<file path=xl/ctrlProps/ctrlProp47.xml><?xml version="1.0" encoding="utf-8"?>
<formControlPr xmlns="http://schemas.microsoft.com/office/spreadsheetml/2009/9/main" objectType="CheckBox" fmlaLink="$D$9" lockText="1" noThreeD="1"/>
</file>

<file path=xl/ctrlProps/ctrlProp48.xml><?xml version="1.0" encoding="utf-8"?>
<formControlPr xmlns="http://schemas.microsoft.com/office/spreadsheetml/2009/9/main" objectType="CheckBox" fmlaLink="$D$10" lockText="1" noThreeD="1"/>
</file>

<file path=xl/ctrlProps/ctrlProp49.xml><?xml version="1.0" encoding="utf-8"?>
<formControlPr xmlns="http://schemas.microsoft.com/office/spreadsheetml/2009/9/main" objectType="CheckBox" fmlaLink="$D$11" lockText="1" noThreeD="1"/>
</file>

<file path=xl/ctrlProps/ctrlProp50.xml><?xml version="1.0" encoding="utf-8"?>
<formControlPr xmlns="http://schemas.microsoft.com/office/spreadsheetml/2009/9/main" objectType="CheckBox" fmlaLink="$D$12" lockText="1" noThreeD="1"/>
</file>

<file path=xl/ctrlProps/ctrlProp51.xml><?xml version="1.0" encoding="utf-8"?>
<formControlPr xmlns="http://schemas.microsoft.com/office/spreadsheetml/2009/9/main" objectType="CheckBox" fmlaLink="$D$13" lockText="1" noThreeD="1"/>
</file>

<file path=xl/ctrlProps/ctrlProp52.xml><?xml version="1.0" encoding="utf-8"?>
<formControlPr xmlns="http://schemas.microsoft.com/office/spreadsheetml/2009/9/main" objectType="CheckBox" fmlaLink="$D$15" lockText="1" noThreeD="1"/>
</file>

<file path=xl/ctrlProps/ctrlProp53.xml><?xml version="1.0" encoding="utf-8"?>
<formControlPr xmlns="http://schemas.microsoft.com/office/spreadsheetml/2009/9/main" objectType="CheckBox" fmlaLink="$D$16" lockText="1" noThreeD="1"/>
</file>

<file path=xl/ctrlProps/ctrlProp54.xml><?xml version="1.0" encoding="utf-8"?>
<formControlPr xmlns="http://schemas.microsoft.com/office/spreadsheetml/2009/9/main" objectType="CheckBox" fmlaLink="$D$17" lockText="1" noThreeD="1"/>
</file>

<file path=xl/ctrlProps/ctrlProp55.xml><?xml version="1.0" encoding="utf-8"?>
<formControlPr xmlns="http://schemas.microsoft.com/office/spreadsheetml/2009/9/main" objectType="CheckBox" fmlaLink="#REF!" lockText="1" noThreeD="1"/>
</file>

<file path=xl/ctrlProps/ctrlProp56.xml><?xml version="1.0" encoding="utf-8"?>
<formControlPr xmlns="http://schemas.microsoft.com/office/spreadsheetml/2009/9/main" objectType="CheckBox" fmlaLink="$D$19" lockText="1" noThreeD="1"/>
</file>

<file path=xl/ctrlProps/ctrlProp57.xml><?xml version="1.0" encoding="utf-8"?>
<formControlPr xmlns="http://schemas.microsoft.com/office/spreadsheetml/2009/9/main" objectType="CheckBox" fmlaLink="$D$20" lockText="1" noThreeD="1"/>
</file>

<file path=xl/ctrlProps/ctrlProp58.xml><?xml version="1.0" encoding="utf-8"?>
<formControlPr xmlns="http://schemas.microsoft.com/office/spreadsheetml/2009/9/main" objectType="CheckBox" fmlaLink="$D$4" lockText="1" noThreeD="1"/>
</file>

<file path=xl/ctrlProps/ctrlProp59.xml><?xml version="1.0" encoding="utf-8"?>
<formControlPr xmlns="http://schemas.microsoft.com/office/spreadsheetml/2009/9/main" objectType="CheckBox" fmlaLink="$D$5" lockText="1" noThreeD="1"/>
</file>

<file path=xl/ctrlProps/ctrlProp60.xml><?xml version="1.0" encoding="utf-8"?>
<formControlPr xmlns="http://schemas.microsoft.com/office/spreadsheetml/2009/9/main" objectType="CheckBox" fmlaLink="$D$6" lockText="1" noThreeD="1"/>
</file>

<file path=xl/ctrlProps/ctrlProp61.xml><?xml version="1.0" encoding="utf-8"?>
<formControlPr xmlns="http://schemas.microsoft.com/office/spreadsheetml/2009/9/main" objectType="CheckBox" fmlaLink="$D$7" lockText="1" noThreeD="1"/>
</file>

<file path=xl/ctrlProps/ctrlProp62.xml><?xml version="1.0" encoding="utf-8"?>
<formControlPr xmlns="http://schemas.microsoft.com/office/spreadsheetml/2009/9/main" objectType="CheckBox" fmlaLink="$D$8" lockText="1" noThreeD="1"/>
</file>

<file path=xl/ctrlProps/ctrlProp63.xml><?xml version="1.0" encoding="utf-8"?>
<formControlPr xmlns="http://schemas.microsoft.com/office/spreadsheetml/2009/9/main" objectType="CheckBox" fmlaLink="$D$9" lockText="1" noThreeD="1"/>
</file>

<file path=xl/ctrlProps/ctrlProp64.xml><?xml version="1.0" encoding="utf-8"?>
<formControlPr xmlns="http://schemas.microsoft.com/office/spreadsheetml/2009/9/main" objectType="CheckBox" fmlaLink="$D$10" lockText="1" noThreeD="1"/>
</file>

<file path=xl/ctrlProps/ctrlProp65.xml><?xml version="1.0" encoding="utf-8"?>
<formControlPr xmlns="http://schemas.microsoft.com/office/spreadsheetml/2009/9/main" objectType="CheckBox" fmlaLink="$D$11" lockText="1" noThreeD="1"/>
</file>

<file path=xl/ctrlProps/ctrlProp66.xml><?xml version="1.0" encoding="utf-8"?>
<formControlPr xmlns="http://schemas.microsoft.com/office/spreadsheetml/2009/9/main" objectType="CheckBox" fmlaLink="$D$12" lockText="1" noThreeD="1"/>
</file>

<file path=xl/ctrlProps/ctrlProp67.xml><?xml version="1.0" encoding="utf-8"?>
<formControlPr xmlns="http://schemas.microsoft.com/office/spreadsheetml/2009/9/main" objectType="CheckBox" fmlaLink="$D$13" lockText="1" noThreeD="1"/>
</file>

<file path=xl/ctrlProps/ctrlProp68.xml><?xml version="1.0" encoding="utf-8"?>
<formControlPr xmlns="http://schemas.microsoft.com/office/spreadsheetml/2009/9/main" objectType="CheckBox" fmlaLink="$D$14" lockText="1" noThreeD="1"/>
</file>

<file path=xl/ctrlProps/ctrlProp69.xml><?xml version="1.0" encoding="utf-8"?>
<formControlPr xmlns="http://schemas.microsoft.com/office/spreadsheetml/2009/9/main" objectType="CheckBox" fmlaLink="$D$15" lockText="1" noThreeD="1"/>
</file>

<file path=xl/ctrlProps/ctrlProp70.xml><?xml version="1.0" encoding="utf-8"?>
<formControlPr xmlns="http://schemas.microsoft.com/office/spreadsheetml/2009/9/main" objectType="CheckBox" fmlaLink="$D$17" lockText="1" noThreeD="1"/>
</file>

<file path=xl/ctrlProps/ctrlProp71.xml><?xml version="1.0" encoding="utf-8"?>
<formControlPr xmlns="http://schemas.microsoft.com/office/spreadsheetml/2009/9/main" objectType="CheckBox" fmlaLink="$D$18" lockText="1" noThreeD="1"/>
</file>

<file path=xl/ctrlProps/ctrlProp72.xml><?xml version="1.0" encoding="utf-8"?>
<formControlPr xmlns="http://schemas.microsoft.com/office/spreadsheetml/2009/9/main" objectType="CheckBox" fmlaLink="$D$19" lockText="1" noThreeD="1"/>
</file>

<file path=xl/ctrlProps/ctrlProp73.xml><?xml version="1.0" encoding="utf-8"?>
<formControlPr xmlns="http://schemas.microsoft.com/office/spreadsheetml/2009/9/main" objectType="CheckBox" fmlaLink="$D$20" lockText="1" noThreeD="1"/>
</file>

<file path=xl/ctrlProps/ctrlProp74.xml><?xml version="1.0" encoding="utf-8"?>
<formControlPr xmlns="http://schemas.microsoft.com/office/spreadsheetml/2009/9/main" objectType="CheckBox" fmlaLink="$D$21" lockText="1" noThreeD="1"/>
</file>

<file path=xl/ctrlProps/ctrlProp75.xml><?xml version="1.0" encoding="utf-8"?>
<formControlPr xmlns="http://schemas.microsoft.com/office/spreadsheetml/2009/9/main" objectType="CheckBox" fmlaLink="$D$22" lockText="1" noThreeD="1"/>
</file>

<file path=xl/ctrlProps/ctrlProp76.xml><?xml version="1.0" encoding="utf-8"?>
<formControlPr xmlns="http://schemas.microsoft.com/office/spreadsheetml/2009/9/main" objectType="CheckBox" fmlaLink="$D$23" lockText="1" noThreeD="1"/>
</file>

<file path=xl/ctrlProps/ctrlProp77.xml><?xml version="1.0" encoding="utf-8"?>
<formControlPr xmlns="http://schemas.microsoft.com/office/spreadsheetml/2009/9/main" objectType="CheckBox" fmlaLink="$D$24" lockText="1" noThreeD="1"/>
</file>

<file path=xl/ctrlProps/ctrlProp78.xml><?xml version="1.0" encoding="utf-8"?>
<formControlPr xmlns="http://schemas.microsoft.com/office/spreadsheetml/2009/9/main" objectType="CheckBox" fmlaLink="$D$25" lockText="1" noThreeD="1"/>
</file>

<file path=xl/ctrlProps/ctrlProp79.xml><?xml version="1.0" encoding="utf-8"?>
<formControlPr xmlns="http://schemas.microsoft.com/office/spreadsheetml/2009/9/main" objectType="CheckBox" fmlaLink="$D$26" lockText="1" noThreeD="1"/>
</file>

<file path=xl/ctrlProps/ctrlProp80.xml><?xml version="1.0" encoding="utf-8"?>
<formControlPr xmlns="http://schemas.microsoft.com/office/spreadsheetml/2009/9/main" objectType="CheckBox" fmlaLink="$D$28" lockText="1" noThreeD="1"/>
</file>

<file path=xl/ctrlProps/ctrlProp81.xml><?xml version="1.0" encoding="utf-8"?>
<formControlPr xmlns="http://schemas.microsoft.com/office/spreadsheetml/2009/9/main" objectType="CheckBox" fmlaLink="$D$29" lockText="1" noThreeD="1"/>
</file>

<file path=xl/ctrlProps/ctrlProp82.xml><?xml version="1.0" encoding="utf-8"?>
<formControlPr xmlns="http://schemas.microsoft.com/office/spreadsheetml/2009/9/main" objectType="CheckBox" fmlaLink="$D$30" lockText="1" noThreeD="1"/>
</file>

<file path=xl/ctrlProps/ctrlProp83.xml><?xml version="1.0" encoding="utf-8"?>
<formControlPr xmlns="http://schemas.microsoft.com/office/spreadsheetml/2009/9/main" objectType="CheckBox" fmlaLink="$D$31" lockText="1" noThreeD="1"/>
</file>

<file path=xl/ctrlProps/ctrlProp84.xml><?xml version="1.0" encoding="utf-8"?>
<formControlPr xmlns="http://schemas.microsoft.com/office/spreadsheetml/2009/9/main" objectType="CheckBox" fmlaLink="$D$32" lockText="1" noThreeD="1"/>
</file>

<file path=xl/ctrlProps/ctrlProp85.xml><?xml version="1.0" encoding="utf-8"?>
<formControlPr xmlns="http://schemas.microsoft.com/office/spreadsheetml/2009/9/main" objectType="CheckBox" fmlaLink="$D$33" lockText="1" noThreeD="1"/>
</file>

<file path=xl/ctrlProps/ctrlProp86.xml><?xml version="1.0" encoding="utf-8"?>
<formControlPr xmlns="http://schemas.microsoft.com/office/spreadsheetml/2009/9/main" objectType="CheckBox" fmlaLink="$D$34" lockText="1" noThreeD="1"/>
</file>

<file path=xl/ctrlProps/ctrlProp87.xml><?xml version="1.0" encoding="utf-8"?>
<formControlPr xmlns="http://schemas.microsoft.com/office/spreadsheetml/2009/9/main" objectType="CheckBox" fmlaLink="$D$35" lockText="1" noThreeD="1"/>
</file>

<file path=xl/ctrlProps/ctrlProp88.xml><?xml version="1.0" encoding="utf-8"?>
<formControlPr xmlns="http://schemas.microsoft.com/office/spreadsheetml/2009/9/main" objectType="CheckBox" fmlaLink="$D$36" lockText="1" noThreeD="1"/>
</file>

<file path=xl/ctrlProps/ctrlProp89.xml><?xml version="1.0" encoding="utf-8"?>
<formControlPr xmlns="http://schemas.microsoft.com/office/spreadsheetml/2009/9/main" objectType="CheckBox" fmlaLink="$D$37" lockText="1" noThreeD="1"/>
</file>

<file path=xl/ctrlProps/ctrlProp90.xml><?xml version="1.0" encoding="utf-8"?>
<formControlPr xmlns="http://schemas.microsoft.com/office/spreadsheetml/2009/9/main" objectType="CheckBox" fmlaLink="$D$38" lockText="1" noThreeD="1"/>
</file>

<file path=xl/ctrlProps/ctrlProp91.xml><?xml version="1.0" encoding="utf-8"?>
<formControlPr xmlns="http://schemas.microsoft.com/office/spreadsheetml/2009/9/main" objectType="CheckBox" fmlaLink="$D$39" lockText="1" noThreeD="1"/>
</file>

<file path=xl/ctrlProps/ctrlProp92.xml><?xml version="1.0" encoding="utf-8"?>
<formControlPr xmlns="http://schemas.microsoft.com/office/spreadsheetml/2009/9/main" objectType="CheckBox" fmlaLink="$D$40" lockText="1" noThreeD="1"/>
</file>

<file path=xl/ctrlProps/ctrlProp93.xml><?xml version="1.0" encoding="utf-8"?>
<formControlPr xmlns="http://schemas.microsoft.com/office/spreadsheetml/2009/9/main" objectType="CheckBox" fmlaLink="$D$41" lockText="1" noThreeD="1"/>
</file>

<file path=xl/ctrlProps/ctrlProp94.xml><?xml version="1.0" encoding="utf-8"?>
<formControlPr xmlns="http://schemas.microsoft.com/office/spreadsheetml/2009/9/main" objectType="CheckBox" fmlaLink="$D$42" lockText="1" noThreeD="1"/>
</file>

<file path=xl/ctrlProps/ctrlProp95.xml><?xml version="1.0" encoding="utf-8"?>
<formControlPr xmlns="http://schemas.microsoft.com/office/spreadsheetml/2009/9/main" objectType="CheckBox" fmlaLink="$D$43" lockText="1" noThreeD="1"/>
</file>

<file path=xl/ctrlProps/ctrlProp96.xml><?xml version="1.0" encoding="utf-8"?>
<formControlPr xmlns="http://schemas.microsoft.com/office/spreadsheetml/2009/9/main" objectType="CheckBox" fmlaLink="$D$44" lockText="1" noThreeD="1"/>
</file>

<file path=xl/ctrlProps/ctrlProp97.xml><?xml version="1.0" encoding="utf-8"?>
<formControlPr xmlns="http://schemas.microsoft.com/office/spreadsheetml/2009/9/main" objectType="CheckBox" fmlaLink="$D$45" lockText="1" noThreeD="1"/>
</file>

<file path=xl/ctrlProps/ctrlProp98.xml><?xml version="1.0" encoding="utf-8"?>
<formControlPr xmlns="http://schemas.microsoft.com/office/spreadsheetml/2009/9/main" objectType="CheckBox" fmlaLink="$D$46" lockText="1" noThreeD="1"/>
</file>

<file path=xl/ctrlProps/ctrlProp99.xml><?xml version="1.0" encoding="utf-8"?>
<formControlPr xmlns="http://schemas.microsoft.com/office/spreadsheetml/2009/9/main" objectType="CheckBox" fmlaLink="$D$47" lockText="1" noThreeD="1"/>
</file>

<file path=xl/ctrlProps/ctrlProp100.xml><?xml version="1.0" encoding="utf-8"?>
<formControlPr xmlns="http://schemas.microsoft.com/office/spreadsheetml/2009/9/main" objectType="CheckBox" fmlaLink="$D$48" lockText="1" noThreeD="1"/>
</file>

<file path=xl/ctrlProps/ctrlProp101.xml><?xml version="1.0" encoding="utf-8"?>
<formControlPr xmlns="http://schemas.microsoft.com/office/spreadsheetml/2009/9/main" objectType="CheckBox" fmlaLink="$D$49" lockText="1" noThreeD="1"/>
</file>

<file path=xl/ctrlProps/ctrlProp102.xml><?xml version="1.0" encoding="utf-8"?>
<formControlPr xmlns="http://schemas.microsoft.com/office/spreadsheetml/2009/9/main" objectType="CheckBox" fmlaLink="$D$50" lockText="1" noThreeD="1"/>
</file>

<file path=xl/ctrlProps/ctrlProp103.xml><?xml version="1.0" encoding="utf-8"?>
<formControlPr xmlns="http://schemas.microsoft.com/office/spreadsheetml/2009/9/main" objectType="CheckBox" fmlaLink="$D$51" lockText="1" noThreeD="1"/>
</file>

<file path=xl/ctrlProps/ctrlProp104.xml><?xml version="1.0" encoding="utf-8"?>
<formControlPr xmlns="http://schemas.microsoft.com/office/spreadsheetml/2009/9/main" objectType="CheckBox" fmlaLink="$D$52" lockText="1" noThreeD="1"/>
</file>

<file path=xl/ctrlProps/ctrlProp105.xml><?xml version="1.0" encoding="utf-8"?>
<formControlPr xmlns="http://schemas.microsoft.com/office/spreadsheetml/2009/9/main" objectType="CheckBox" fmlaLink="$D$53" lockText="1" noThreeD="1"/>
</file>

<file path=xl/ctrlProps/ctrlProp106.xml><?xml version="1.0" encoding="utf-8"?>
<formControlPr xmlns="http://schemas.microsoft.com/office/spreadsheetml/2009/9/main" objectType="CheckBox" fmlaLink="$D$54" lockText="1" noThreeD="1"/>
</file>

<file path=xl/ctrlProps/ctrlProp107.xml><?xml version="1.0" encoding="utf-8"?>
<formControlPr xmlns="http://schemas.microsoft.com/office/spreadsheetml/2009/9/main" objectType="CheckBox" fmlaLink="$D$55" lockText="1" noThreeD="1"/>
</file>

<file path=xl/ctrlProps/ctrlProp108.xml><?xml version="1.0" encoding="utf-8"?>
<formControlPr xmlns="http://schemas.microsoft.com/office/spreadsheetml/2009/9/main" objectType="CheckBox" fmlaLink="$D$56" lockText="1" noThreeD="1"/>
</file>

<file path=xl/ctrlProps/ctrlProp109.xml><?xml version="1.0" encoding="utf-8"?>
<formControlPr xmlns="http://schemas.microsoft.com/office/spreadsheetml/2009/9/main" objectType="CheckBox" fmlaLink="$D$57" lockText="1" noThreeD="1"/>
</file>

<file path=xl/ctrlProps/ctrlProp110.xml><?xml version="1.0" encoding="utf-8"?>
<formControlPr xmlns="http://schemas.microsoft.com/office/spreadsheetml/2009/9/main" objectType="CheckBox" fmlaLink="$D$58" lockText="1" noThreeD="1"/>
</file>

<file path=xl/ctrlProps/ctrlProp111.xml><?xml version="1.0" encoding="utf-8"?>
<formControlPr xmlns="http://schemas.microsoft.com/office/spreadsheetml/2009/9/main" objectType="CheckBox" fmlaLink="$D$59" lockText="1" noThreeD="1"/>
</file>

<file path=xl/ctrlProps/ctrlProp112.xml><?xml version="1.0" encoding="utf-8"?>
<formControlPr xmlns="http://schemas.microsoft.com/office/spreadsheetml/2009/9/main" objectType="CheckBox" fmlaLink="$D$60" lockText="1" noThreeD="1"/>
</file>

<file path=xl/ctrlProps/ctrlProp113.xml><?xml version="1.0" encoding="utf-8"?>
<formControlPr xmlns="http://schemas.microsoft.com/office/spreadsheetml/2009/9/main" objectType="CheckBox" fmlaLink="$D$61" lockText="1" noThreeD="1"/>
</file>

<file path=xl/ctrlProps/ctrlProp114.xml><?xml version="1.0" encoding="utf-8"?>
<formControlPr xmlns="http://schemas.microsoft.com/office/spreadsheetml/2009/9/main" objectType="CheckBox" fmlaLink="$D$62" lockText="1" noThreeD="1"/>
</file>

<file path=xl/ctrlProps/ctrlProp115.xml><?xml version="1.0" encoding="utf-8"?>
<formControlPr xmlns="http://schemas.microsoft.com/office/spreadsheetml/2009/9/main" objectType="CheckBox" fmlaLink="$D$63" lockText="1" noThreeD="1"/>
</file>

<file path=xl/ctrlProps/ctrlProp116.xml><?xml version="1.0" encoding="utf-8"?>
<formControlPr xmlns="http://schemas.microsoft.com/office/spreadsheetml/2009/9/main" objectType="CheckBox" fmlaLink="$D$64" lockText="1" noThreeD="1"/>
</file>

<file path=xl/ctrlProps/ctrlProp117.xml><?xml version="1.0" encoding="utf-8"?>
<formControlPr xmlns="http://schemas.microsoft.com/office/spreadsheetml/2009/9/main" objectType="CheckBox" fmlaLink="$D$65" lockText="1" noThreeD="1"/>
</file>

<file path=xl/ctrlProps/ctrlProp118.xml><?xml version="1.0" encoding="utf-8"?>
<formControlPr xmlns="http://schemas.microsoft.com/office/spreadsheetml/2009/9/main" objectType="CheckBox" fmlaLink="$D$66" lockText="1" noThreeD="1"/>
</file>

<file path=xl/ctrlProps/ctrlProp119.xml><?xml version="1.0" encoding="utf-8"?>
<formControlPr xmlns="http://schemas.microsoft.com/office/spreadsheetml/2009/9/main" objectType="CheckBox" fmlaLink="$D$67" lockText="1" noThreeD="1"/>
</file>

<file path=xl/ctrlProps/ctrlProp120.xml><?xml version="1.0" encoding="utf-8"?>
<formControlPr xmlns="http://schemas.microsoft.com/office/spreadsheetml/2009/9/main" objectType="CheckBox" fmlaLink="$D$68" lockText="1" noThreeD="1"/>
</file>

<file path=xl/ctrlProps/ctrlProp121.xml><?xml version="1.0" encoding="utf-8"?>
<formControlPr xmlns="http://schemas.microsoft.com/office/spreadsheetml/2009/9/main" objectType="CheckBox" fmlaLink="$D$69" lockText="1" noThreeD="1"/>
</file>

<file path=xl/ctrlProps/ctrlProp122.xml><?xml version="1.0" encoding="utf-8"?>
<formControlPr xmlns="http://schemas.microsoft.com/office/spreadsheetml/2009/9/main" objectType="CheckBox" fmlaLink="$D$70" lockText="1" noThreeD="1"/>
</file>

<file path=xl/ctrlProps/ctrlProp123.xml><?xml version="1.0" encoding="utf-8"?>
<formControlPr xmlns="http://schemas.microsoft.com/office/spreadsheetml/2009/9/main" objectType="CheckBox" fmlaLink="$D$71" lockText="1" noThreeD="1"/>
</file>

<file path=xl/ctrlProps/ctrlProp124.xml><?xml version="1.0" encoding="utf-8"?>
<formControlPr xmlns="http://schemas.microsoft.com/office/spreadsheetml/2009/9/main" objectType="CheckBox" fmlaLink="$D$72" lockText="1" noThreeD="1"/>
</file>

<file path=xl/ctrlProps/ctrlProp125.xml><?xml version="1.0" encoding="utf-8"?>
<formControlPr xmlns="http://schemas.microsoft.com/office/spreadsheetml/2009/9/main" objectType="CheckBox" fmlaLink="$D$73" lockText="1" noThreeD="1"/>
</file>

<file path=xl/ctrlProps/ctrlProp126.xml><?xml version="1.0" encoding="utf-8"?>
<formControlPr xmlns="http://schemas.microsoft.com/office/spreadsheetml/2009/9/main" objectType="CheckBox" fmlaLink="$D$74" lockText="1" noThreeD="1"/>
</file>

<file path=xl/ctrlProps/ctrlProp127.xml><?xml version="1.0" encoding="utf-8"?>
<formControlPr xmlns="http://schemas.microsoft.com/office/spreadsheetml/2009/9/main" objectType="CheckBox" fmlaLink="$D$76" lockText="1" noThreeD="1"/>
</file>

<file path=xl/ctrlProps/ctrlProp128.xml><?xml version="1.0" encoding="utf-8"?>
<formControlPr xmlns="http://schemas.microsoft.com/office/spreadsheetml/2009/9/main" objectType="CheckBox" fmlaLink="$D$78" lockText="1" noThreeD="1"/>
</file>

<file path=xl/ctrlProps/ctrlProp129.xml><?xml version="1.0" encoding="utf-8"?>
<formControlPr xmlns="http://schemas.microsoft.com/office/spreadsheetml/2009/9/main" objectType="CheckBox" fmlaLink="$D$79" lockText="1" noThreeD="1"/>
</file>

<file path=xl/ctrlProps/ctrlProp130.xml><?xml version="1.0" encoding="utf-8"?>
<formControlPr xmlns="http://schemas.microsoft.com/office/spreadsheetml/2009/9/main" objectType="CheckBox" fmlaLink="$D$80" lockText="1" noThreeD="1"/>
</file>

<file path=xl/ctrlProps/ctrlProp131.xml><?xml version="1.0" encoding="utf-8"?>
<formControlPr xmlns="http://schemas.microsoft.com/office/spreadsheetml/2009/9/main" objectType="CheckBox" fmlaLink="$D$81" lockText="1" noThreeD="1"/>
</file>

<file path=xl/ctrlProps/ctrlProp132.xml><?xml version="1.0" encoding="utf-8"?>
<formControlPr xmlns="http://schemas.microsoft.com/office/spreadsheetml/2009/9/main" objectType="CheckBox" fmlaLink="$D$82" lockText="1" noThreeD="1"/>
</file>

<file path=xl/ctrlProps/ctrlProp133.xml><?xml version="1.0" encoding="utf-8"?>
<formControlPr xmlns="http://schemas.microsoft.com/office/spreadsheetml/2009/9/main" objectType="CheckBox" fmlaLink="$D$83" lockText="1" noThreeD="1"/>
</file>

<file path=xl/ctrlProps/ctrlProp134.xml><?xml version="1.0" encoding="utf-8"?>
<formControlPr xmlns="http://schemas.microsoft.com/office/spreadsheetml/2009/9/main" objectType="CheckBox" fmlaLink="$D$84" lockText="1" noThreeD="1"/>
</file>

<file path=xl/ctrlProps/ctrlProp135.xml><?xml version="1.0" encoding="utf-8"?>
<formControlPr xmlns="http://schemas.microsoft.com/office/spreadsheetml/2009/9/main" objectType="CheckBox" fmlaLink="$D$85" lockText="1" noThreeD="1"/>
</file>

<file path=xl/ctrlProps/ctrlProp136.xml><?xml version="1.0" encoding="utf-8"?>
<formControlPr xmlns="http://schemas.microsoft.com/office/spreadsheetml/2009/9/main" objectType="CheckBox" fmlaLink="$D$86" lockText="1" noThreeD="1"/>
</file>

<file path=xl/ctrlProps/ctrlProp137.xml><?xml version="1.0" encoding="utf-8"?>
<formControlPr xmlns="http://schemas.microsoft.com/office/spreadsheetml/2009/9/main" objectType="CheckBox" fmlaLink="$D$87" lockText="1" noThreeD="1"/>
</file>

<file path=xl/ctrlProps/ctrlProp138.xml><?xml version="1.0" encoding="utf-8"?>
<formControlPr xmlns="http://schemas.microsoft.com/office/spreadsheetml/2009/9/main" objectType="CheckBox" fmlaLink="$D$4" lockText="1" noThreeD="1"/>
</file>

<file path=xl/ctrlProps/ctrlProp139.xml><?xml version="1.0" encoding="utf-8"?>
<formControlPr xmlns="http://schemas.microsoft.com/office/spreadsheetml/2009/9/main" objectType="CheckBox" fmlaLink="$D$5" lockText="1" noThreeD="1"/>
</file>

<file path=xl/ctrlProps/ctrlProp140.xml><?xml version="1.0" encoding="utf-8"?>
<formControlPr xmlns="http://schemas.microsoft.com/office/spreadsheetml/2009/9/main" objectType="CheckBox" fmlaLink="$D$7" lockText="1" noThreeD="1"/>
</file>

<file path=xl/ctrlProps/ctrlProp141.xml><?xml version="1.0" encoding="utf-8"?>
<formControlPr xmlns="http://schemas.microsoft.com/office/spreadsheetml/2009/9/main" objectType="CheckBox" fmlaLink="$D$8" lockText="1" noThreeD="1"/>
</file>

<file path=xl/ctrlProps/ctrlProp142.xml><?xml version="1.0" encoding="utf-8"?>
<formControlPr xmlns="http://schemas.microsoft.com/office/spreadsheetml/2009/9/main" objectType="CheckBox" fmlaLink="$D$9" lockText="1" noThreeD="1"/>
</file>

<file path=xl/ctrlProps/ctrlProp143.xml><?xml version="1.0" encoding="utf-8"?>
<formControlPr xmlns="http://schemas.microsoft.com/office/spreadsheetml/2009/9/main" objectType="CheckBox" fmlaLink="$D$10" lockText="1" noThreeD="1"/>
</file>

<file path=xl/ctrlProps/ctrlProp144.xml><?xml version="1.0" encoding="utf-8"?>
<formControlPr xmlns="http://schemas.microsoft.com/office/spreadsheetml/2009/9/main" objectType="CheckBox" fmlaLink="$D$12" lockText="1" noThreeD="1"/>
</file>

<file path=xl/ctrlProps/ctrlProp145.xml><?xml version="1.0" encoding="utf-8"?>
<formControlPr xmlns="http://schemas.microsoft.com/office/spreadsheetml/2009/9/main" objectType="CheckBox" fmlaLink="$D$13" lockText="1" noThreeD="1"/>
</file>

<file path=xl/ctrlProps/ctrlProp146.xml><?xml version="1.0" encoding="utf-8"?>
<formControlPr xmlns="http://schemas.microsoft.com/office/spreadsheetml/2009/9/main" objectType="CheckBox" fmlaLink="$D$14" lockText="1" noThreeD="1"/>
</file>

<file path=xl/ctrlProps/ctrlProp147.xml><?xml version="1.0" encoding="utf-8"?>
<formControlPr xmlns="http://schemas.microsoft.com/office/spreadsheetml/2009/9/main" objectType="CheckBox" fmlaLink="$D$15" lockText="1" noThreeD="1"/>
</file>

<file path=xl/ctrlProps/ctrlProp148.xml><?xml version="1.0" encoding="utf-8"?>
<formControlPr xmlns="http://schemas.microsoft.com/office/spreadsheetml/2009/9/main" objectType="CheckBox" fmlaLink="$D$16" lockText="1" noThreeD="1"/>
</file>

<file path=xl/ctrlProps/ctrlProp149.xml><?xml version="1.0" encoding="utf-8"?>
<formControlPr xmlns="http://schemas.microsoft.com/office/spreadsheetml/2009/9/main" objectType="CheckBox" fmlaLink="$D$17" lockText="1" noThreeD="1"/>
</file>

<file path=xl/ctrlProps/ctrlProp150.xml><?xml version="1.0" encoding="utf-8"?>
<formControlPr xmlns="http://schemas.microsoft.com/office/spreadsheetml/2009/9/main" objectType="CheckBox" fmlaLink="$D$18" lockText="1" noThreeD="1"/>
</file>

<file path=xl/ctrlProps/ctrlProp151.xml><?xml version="1.0" encoding="utf-8"?>
<formControlPr xmlns="http://schemas.microsoft.com/office/spreadsheetml/2009/9/main" objectType="CheckBox" fmlaLink="$D$19" lockText="1" noThreeD="1"/>
</file>

<file path=xl/ctrlProps/ctrlProp152.xml><?xml version="1.0" encoding="utf-8"?>
<formControlPr xmlns="http://schemas.microsoft.com/office/spreadsheetml/2009/9/main" objectType="CheckBox" fmlaLink="$D$2" lockText="1" noThreeD="1"/>
</file>

<file path=xl/ctrlProps/ctrlProp153.xml><?xml version="1.0" encoding="utf-8"?>
<formControlPr xmlns="http://schemas.microsoft.com/office/spreadsheetml/2009/9/main" objectType="CheckBox" fmlaLink="$D$3" lockText="1" noThreeD="1"/>
</file>

<file path=xl/ctrlProps/ctrlProp154.xml><?xml version="1.0" encoding="utf-8"?>
<formControlPr xmlns="http://schemas.microsoft.com/office/spreadsheetml/2009/9/main" objectType="CheckBox" fmlaLink="$D$4" lockText="1" noThreeD="1"/>
</file>

<file path=xl/ctrlProps/ctrlProp155.xml><?xml version="1.0" encoding="utf-8"?>
<formControlPr xmlns="http://schemas.microsoft.com/office/spreadsheetml/2009/9/main" objectType="CheckBox" fmlaLink="$D$5" lockText="1" noThreeD="1"/>
</file>

<file path=xl/ctrlProps/ctrlProp156.xml><?xml version="1.0" encoding="utf-8"?>
<formControlPr xmlns="http://schemas.microsoft.com/office/spreadsheetml/2009/9/main" objectType="CheckBox" fmlaLink="$D$5" lockText="1" noThreeD="1"/>
</file>

<file path=xl/ctrlProps/ctrlProp157.xml><?xml version="1.0" encoding="utf-8"?>
<formControlPr xmlns="http://schemas.microsoft.com/office/spreadsheetml/2009/9/main" objectType="CheckBox" fmlaLink="$D$6" lockText="1" noThreeD="1"/>
</file>

<file path=xl/ctrlProps/ctrlProp158.xml><?xml version="1.0" encoding="utf-8"?>
<formControlPr xmlns="http://schemas.microsoft.com/office/spreadsheetml/2009/9/main" objectType="CheckBox" fmlaLink="$D$6" lockText="1" noThreeD="1"/>
</file>

<file path=xl/ctrlProps/ctrlProp159.xml><?xml version="1.0" encoding="utf-8"?>
<formControlPr xmlns="http://schemas.microsoft.com/office/spreadsheetml/2009/9/main" objectType="CheckBox" fmlaLink="$D$7" lockText="1" noThreeD="1"/>
</file>

<file path=xl/ctrlProps/ctrlProp160.xml><?xml version="1.0" encoding="utf-8"?>
<formControlPr xmlns="http://schemas.microsoft.com/office/spreadsheetml/2009/9/main" objectType="CheckBox" fmlaLink="$D$7" lockText="1" noThreeD="1"/>
</file>

<file path=xl/ctrlProps/ctrlProp161.xml><?xml version="1.0" encoding="utf-8"?>
<formControlPr xmlns="http://schemas.microsoft.com/office/spreadsheetml/2009/9/main" objectType="CheckBox" fmlaLink="$D$9" lockText="1" noThreeD="1"/>
</file>

<file path=xl/ctrlProps/ctrlProp162.xml><?xml version="1.0" encoding="utf-8"?>
<formControlPr xmlns="http://schemas.microsoft.com/office/spreadsheetml/2009/9/main" objectType="CheckBox" fmlaLink="$D$11" lockText="1" noThreeD="1"/>
</file>

<file path=xl/ctrlProps/ctrlProp163.xml><?xml version="1.0" encoding="utf-8"?>
<formControlPr xmlns="http://schemas.microsoft.com/office/spreadsheetml/2009/9/main" objectType="CheckBox" fmlaLink="$D$15" lockText="1" noThreeD="1"/>
</file>

<file path=xl/ctrlProps/ctrlProp164.xml><?xml version="1.0" encoding="utf-8"?>
<formControlPr xmlns="http://schemas.microsoft.com/office/spreadsheetml/2009/9/main" objectType="CheckBox" fmlaLink="$D$17" lockText="1" noThreeD="1"/>
</file>

<file path=xl/ctrlProps/ctrlProp165.xml><?xml version="1.0" encoding="utf-8"?>
<formControlPr xmlns="http://schemas.microsoft.com/office/spreadsheetml/2009/9/main" objectType="CheckBox" fmlaLink="$D$18" lockText="1" noThreeD="1"/>
</file>

<file path=xl/ctrlProps/ctrlProp166.xml><?xml version="1.0" encoding="utf-8"?>
<formControlPr xmlns="http://schemas.microsoft.com/office/spreadsheetml/2009/9/main" objectType="CheckBox" fmlaLink="$D$19" lockText="1" noThreeD="1"/>
</file>

<file path=xl/ctrlProps/ctrlProp167.xml><?xml version="1.0" encoding="utf-8"?>
<formControlPr xmlns="http://schemas.microsoft.com/office/spreadsheetml/2009/9/main" objectType="CheckBox" fmlaLink="$D$20" lockText="1" noThreeD="1"/>
</file>

<file path=xl/ctrlProps/ctrlProp168.xml><?xml version="1.0" encoding="utf-8"?>
<formControlPr xmlns="http://schemas.microsoft.com/office/spreadsheetml/2009/9/main" objectType="CheckBox" fmlaLink="$D$22" lockText="1" noThreeD="1"/>
</file>

<file path=xl/ctrlProps/ctrlProp169.xml><?xml version="1.0" encoding="utf-8"?>
<formControlPr xmlns="http://schemas.microsoft.com/office/spreadsheetml/2009/9/main" objectType="CheckBox" fmlaLink="$D$24" lockText="1" noThreeD="1"/>
</file>

<file path=xl/ctrlProps/ctrlProp170.xml><?xml version="1.0" encoding="utf-8"?>
<formControlPr xmlns="http://schemas.microsoft.com/office/spreadsheetml/2009/9/main" objectType="CheckBox" fmlaLink="$D$25" lockText="1" noThreeD="1"/>
</file>

<file path=xl/ctrlProps/ctrlProp171.xml><?xml version="1.0" encoding="utf-8"?>
<formControlPr xmlns="http://schemas.microsoft.com/office/spreadsheetml/2009/9/main" objectType="CheckBox" fmlaLink="$D$2" lockText="1" noThreeD="1"/>
</file>

<file path=xl/ctrlProps/ctrlProp172.xml><?xml version="1.0" encoding="utf-8"?>
<formControlPr xmlns="http://schemas.microsoft.com/office/spreadsheetml/2009/9/main" objectType="CheckBox" fmlaLink="$D$3" lockText="1" noThreeD="1"/>
</file>

<file path=xl/ctrlProps/ctrlProp173.xml><?xml version="1.0" encoding="utf-8"?>
<formControlPr xmlns="http://schemas.microsoft.com/office/spreadsheetml/2009/9/main" objectType="CheckBox" fmlaLink="$D$4" lockText="1" noThreeD="1"/>
</file>

<file path=xl/ctrlProps/ctrlProp174.xml><?xml version="1.0" encoding="utf-8"?>
<formControlPr xmlns="http://schemas.microsoft.com/office/spreadsheetml/2009/9/main" objectType="CheckBox" fmlaLink="$D$5" lockText="1" noThreeD="1"/>
</file>

<file path=xl/ctrlProps/ctrlProp175.xml><?xml version="1.0" encoding="utf-8"?>
<formControlPr xmlns="http://schemas.microsoft.com/office/spreadsheetml/2009/9/main" objectType="CheckBox" fmlaLink="$D$6" lockText="1" noThreeD="1"/>
</file>

<file path=xl/ctrlProps/ctrlProp176.xml><?xml version="1.0" encoding="utf-8"?>
<formControlPr xmlns="http://schemas.microsoft.com/office/spreadsheetml/2009/9/main" objectType="CheckBox" fmlaLink="$D$7" lockText="1" noThreeD="1"/>
</file>

<file path=xl/ctrlProps/ctrlProp177.xml><?xml version="1.0" encoding="utf-8"?>
<formControlPr xmlns="http://schemas.microsoft.com/office/spreadsheetml/2009/9/main" objectType="CheckBox" fmlaLink="$D$8" lockText="1" noThreeD="1"/>
</file>

<file path=xl/ctrlProps/ctrlProp178.xml><?xml version="1.0" encoding="utf-8"?>
<formControlPr xmlns="http://schemas.microsoft.com/office/spreadsheetml/2009/9/main" objectType="CheckBox" fmlaLink="$D$9" lockText="1" noThreeD="1"/>
</file>

<file path=xl/ctrlProps/ctrlProp179.xml><?xml version="1.0" encoding="utf-8"?>
<formControlPr xmlns="http://schemas.microsoft.com/office/spreadsheetml/2009/9/main" objectType="CheckBox" fmlaLink="$D$10" lockText="1" noThreeD="1"/>
</file>

<file path=xl/ctrlProps/ctrlProp180.xml><?xml version="1.0" encoding="utf-8"?>
<formControlPr xmlns="http://schemas.microsoft.com/office/spreadsheetml/2009/9/main" objectType="CheckBox" fmlaLink="$D$11" lockText="1" noThreeD="1"/>
</file>

<file path=xl/ctrlProps/ctrlProp181.xml><?xml version="1.0" encoding="utf-8"?>
<formControlPr xmlns="http://schemas.microsoft.com/office/spreadsheetml/2009/9/main" objectType="CheckBox" fmlaLink="$D$12" lockText="1" noThreeD="1"/>
</file>

<file path=xl/ctrlProps/ctrlProp182.xml><?xml version="1.0" encoding="utf-8"?>
<formControlPr xmlns="http://schemas.microsoft.com/office/spreadsheetml/2009/9/main" objectType="CheckBox" fmlaLink="$D$13" lockText="1" noThreeD="1"/>
</file>

<file path=xl/ctrlProps/ctrlProp183.xml><?xml version="1.0" encoding="utf-8"?>
<formControlPr xmlns="http://schemas.microsoft.com/office/spreadsheetml/2009/9/main" objectType="CheckBox" fmlaLink="$D$14" lockText="1" noThreeD="1"/>
</file>

<file path=xl/ctrlProps/ctrlProp184.xml><?xml version="1.0" encoding="utf-8"?>
<formControlPr xmlns="http://schemas.microsoft.com/office/spreadsheetml/2009/9/main" objectType="CheckBox" fmlaLink="$D$15" lockText="1" noThreeD="1"/>
</file>

<file path=xl/ctrlProps/ctrlProp185.xml><?xml version="1.0" encoding="utf-8"?>
<formControlPr xmlns="http://schemas.microsoft.com/office/spreadsheetml/2009/9/main" objectType="CheckBox" fmlaLink="$D$16" lockText="1" noThreeD="1"/>
</file>

<file path=xl/ctrlProps/ctrlProp186.xml><?xml version="1.0" encoding="utf-8"?>
<formControlPr xmlns="http://schemas.microsoft.com/office/spreadsheetml/2009/9/main" objectType="CheckBox" fmlaLink="$D$17" lockText="1" noThreeD="1"/>
</file>

<file path=xl/ctrlProps/ctrlProp187.xml><?xml version="1.0" encoding="utf-8"?>
<formControlPr xmlns="http://schemas.microsoft.com/office/spreadsheetml/2009/9/main" objectType="CheckBox" fmlaLink="$D$18" lockText="1" noThreeD="1"/>
</file>

<file path=xl/ctrlProps/ctrlProp188.xml><?xml version="1.0" encoding="utf-8"?>
<formControlPr xmlns="http://schemas.microsoft.com/office/spreadsheetml/2009/9/main" objectType="CheckBox" fmlaLink="$D$19" lockText="1" noThreeD="1"/>
</file>

<file path=xl/ctrlProps/ctrlProp189.xml><?xml version="1.0" encoding="utf-8"?>
<formControlPr xmlns="http://schemas.microsoft.com/office/spreadsheetml/2009/9/main" objectType="CheckBox" fmlaLink="$D$21" lockText="1" noThreeD="1"/>
</file>

<file path=xl/ctrlProps/ctrlProp190.xml><?xml version="1.0" encoding="utf-8"?>
<formControlPr xmlns="http://schemas.microsoft.com/office/spreadsheetml/2009/9/main" objectType="CheckBox" fmlaLink="$D$22" lockText="1" noThreeD="1"/>
</file>

<file path=xl/ctrlProps/ctrlProp191.xml><?xml version="1.0" encoding="utf-8"?>
<formControlPr xmlns="http://schemas.microsoft.com/office/spreadsheetml/2009/9/main" objectType="CheckBox" fmlaLink="$D$23" lockText="1" noThreeD="1"/>
</file>

<file path=xl/ctrlProps/ctrlProp192.xml><?xml version="1.0" encoding="utf-8"?>
<formControlPr xmlns="http://schemas.microsoft.com/office/spreadsheetml/2009/9/main" objectType="CheckBox" fmlaLink="$D$24" lockText="1" noThreeD="1"/>
</file>

<file path=xl/ctrlProps/ctrlProp193.xml><?xml version="1.0" encoding="utf-8"?>
<formControlPr xmlns="http://schemas.microsoft.com/office/spreadsheetml/2009/9/main" objectType="CheckBox" fmlaLink="$D$25" lockText="1" noThreeD="1"/>
</file>

<file path=xl/ctrlProps/ctrlProp194.xml><?xml version="1.0" encoding="utf-8"?>
<formControlPr xmlns="http://schemas.microsoft.com/office/spreadsheetml/2009/9/main" objectType="CheckBox" fmlaLink="$D$26" lockText="1" noThreeD="1"/>
</file>

<file path=xl/ctrlProps/ctrlProp195.xml><?xml version="1.0" encoding="utf-8"?>
<formControlPr xmlns="http://schemas.microsoft.com/office/spreadsheetml/2009/9/main" objectType="CheckBox" fmlaLink="$D$27" lockText="1" noThreeD="1"/>
</file>

<file path=xl/ctrlProps/ctrlProp196.xml><?xml version="1.0" encoding="utf-8"?>
<formControlPr xmlns="http://schemas.microsoft.com/office/spreadsheetml/2009/9/main" objectType="CheckBox" fmlaLink="$D$28" lockText="1" noThreeD="1"/>
</file>

<file path=xl/ctrlProps/ctrlProp197.xml><?xml version="1.0" encoding="utf-8"?>
<formControlPr xmlns="http://schemas.microsoft.com/office/spreadsheetml/2009/9/main" objectType="CheckBox" fmlaLink="$D$29" lockText="1" noThreeD="1"/>
</file>

<file path=xl/ctrlProps/ctrlProp198.xml><?xml version="1.0" encoding="utf-8"?>
<formControlPr xmlns="http://schemas.microsoft.com/office/spreadsheetml/2009/9/main" objectType="CheckBox" fmlaLink="$D$31" lockText="1" noThreeD="1"/>
</file>

<file path=xl/ctrlProps/ctrlProp199.xml><?xml version="1.0" encoding="utf-8"?>
<formControlPr xmlns="http://schemas.microsoft.com/office/spreadsheetml/2009/9/main" objectType="CheckBox" fmlaLink="$D$36" lockText="1" noThreeD="1"/>
</file>

<file path=xl/ctrlProps/ctrlProp200.xml><?xml version="1.0" encoding="utf-8"?>
<formControlPr xmlns="http://schemas.microsoft.com/office/spreadsheetml/2009/9/main" objectType="CheckBox" fmlaLink="$D$37" lockText="1" noThreeD="1"/>
</file>

<file path=xl/ctrlProps/ctrlProp201.xml><?xml version="1.0" encoding="utf-8"?>
<formControlPr xmlns="http://schemas.microsoft.com/office/spreadsheetml/2009/9/main" objectType="CheckBox" fmlaLink="$D$38" lockText="1" noThreeD="1"/>
</file>

<file path=xl/ctrlProps/ctrlProp202.xml><?xml version="1.0" encoding="utf-8"?>
<formControlPr xmlns="http://schemas.microsoft.com/office/spreadsheetml/2009/9/main" objectType="CheckBox" fmlaLink="$D$32" lockText="1" noThreeD="1"/>
</file>

<file path=xl/ctrlProps/ctrlProp203.xml><?xml version="1.0" encoding="utf-8"?>
<formControlPr xmlns="http://schemas.microsoft.com/office/spreadsheetml/2009/9/main" objectType="CheckBox" fmlaLink="$D$33" lockText="1" noThreeD="1"/>
</file>

<file path=xl/ctrlProps/ctrlProp204.xml><?xml version="1.0" encoding="utf-8"?>
<formControlPr xmlns="http://schemas.microsoft.com/office/spreadsheetml/2009/9/main" objectType="CheckBox" fmlaLink="$D$34" lockText="1" noThreeD="1"/>
</file>

<file path=xl/ctrlProps/ctrlProp205.xml><?xml version="1.0" encoding="utf-8"?>
<formControlPr xmlns="http://schemas.microsoft.com/office/spreadsheetml/2009/9/main" objectType="CheckBox" fmlaLink="$D$35" lockText="1" noThreeD="1"/>
</file>

<file path=xl/ctrlProps/ctrlProp206.xml><?xml version="1.0" encoding="utf-8"?>
<formControlPr xmlns="http://schemas.microsoft.com/office/spreadsheetml/2009/9/main" objectType="CheckBox" fmlaLink="$D$39" lockText="1" noThreeD="1"/>
</file>

<file path=xl/ctrlProps/ctrlProp207.xml><?xml version="1.0" encoding="utf-8"?>
<formControlPr xmlns="http://schemas.microsoft.com/office/spreadsheetml/2009/9/main" objectType="CheckBox" fmlaLink="$D$40" lockText="1" noThreeD="1"/>
</file>

<file path=xl/ctrlProps/ctrlProp208.xml><?xml version="1.0" encoding="utf-8"?>
<formControlPr xmlns="http://schemas.microsoft.com/office/spreadsheetml/2009/9/main" objectType="CheckBox" fmlaLink="$D$41" lockText="1" noThreeD="1"/>
</file>

<file path=xl/ctrlProps/ctrlProp209.xml><?xml version="1.0" encoding="utf-8"?>
<formControlPr xmlns="http://schemas.microsoft.com/office/spreadsheetml/2009/9/main" objectType="CheckBox" fmlaLink="$D$3" lockText="1" noThreeD="1"/>
</file>

<file path=xl/ctrlProps/ctrlProp210.xml><?xml version="1.0" encoding="utf-8"?>
<formControlPr xmlns="http://schemas.microsoft.com/office/spreadsheetml/2009/9/main" objectType="CheckBox" fmlaLink="$D$7" lockText="1" noThreeD="1"/>
</file>

<file path=xl/ctrlProps/ctrlProp211.xml><?xml version="1.0" encoding="utf-8"?>
<formControlPr xmlns="http://schemas.microsoft.com/office/spreadsheetml/2009/9/main" objectType="CheckBox" fmlaLink="$D$8" lockText="1" noThreeD="1"/>
</file>

<file path=xl/ctrlProps/ctrlProp212.xml><?xml version="1.0" encoding="utf-8"?>
<formControlPr xmlns="http://schemas.microsoft.com/office/spreadsheetml/2009/9/main" objectType="CheckBox" fmlaLink="$D$9" lockText="1" noThreeD="1"/>
</file>

<file path=xl/ctrlProps/ctrlProp213.xml><?xml version="1.0" encoding="utf-8"?>
<formControlPr xmlns="http://schemas.microsoft.com/office/spreadsheetml/2009/9/main" objectType="CheckBox" fmlaLink="$D$13" lockText="1" noThreeD="1"/>
</file>

<file path=xl/ctrlProps/ctrlProp214.xml><?xml version="1.0" encoding="utf-8"?>
<formControlPr xmlns="http://schemas.microsoft.com/office/spreadsheetml/2009/9/main" objectType="CheckBox" fmlaLink="$D$14" lockText="1" noThreeD="1"/>
</file>

<file path=xl/ctrlProps/ctrlProp215.xml><?xml version="1.0" encoding="utf-8"?>
<formControlPr xmlns="http://schemas.microsoft.com/office/spreadsheetml/2009/9/main" objectType="CheckBox" fmlaLink="$D$15" lockText="1" noThreeD="1"/>
</file>

<file path=xl/ctrlProps/ctrlProp216.xml><?xml version="1.0" encoding="utf-8"?>
<formControlPr xmlns="http://schemas.microsoft.com/office/spreadsheetml/2009/9/main" objectType="CheckBox" fmlaLink="$D$16" lockText="1" noThreeD="1"/>
</file>

<file path=xl/ctrlProps/ctrlProp217.xml><?xml version="1.0" encoding="utf-8"?>
<formControlPr xmlns="http://schemas.microsoft.com/office/spreadsheetml/2009/9/main" objectType="CheckBox" fmlaLink="$D$17" lockText="1" noThreeD="1"/>
</file>

<file path=xl/ctrlProps/ctrlProp218.xml><?xml version="1.0" encoding="utf-8"?>
<formControlPr xmlns="http://schemas.microsoft.com/office/spreadsheetml/2009/9/main" objectType="CheckBox" fmlaLink="$D$3" lockText="1" noThreeD="1"/>
</file>

<file path=xl/ctrlProps/ctrlProp219.xml><?xml version="1.0" encoding="utf-8"?>
<formControlPr xmlns="http://schemas.microsoft.com/office/spreadsheetml/2009/9/main" objectType="CheckBox" fmlaLink="$D$8" lockText="1" noThreeD="1"/>
</file>

<file path=xl/ctrlProps/ctrlProp220.xml><?xml version="1.0" encoding="utf-8"?>
<formControlPr xmlns="http://schemas.microsoft.com/office/spreadsheetml/2009/9/main" objectType="CheckBox" fmlaLink="$D$9" lockText="1" noThreeD="1"/>
</file>

<file path=xl/ctrlProps/ctrlProp221.xml><?xml version="1.0" encoding="utf-8"?>
<formControlPr xmlns="http://schemas.microsoft.com/office/spreadsheetml/2009/9/main" objectType="CheckBox" fmlaLink="$D$11" lockText="1" noThreeD="1"/>
</file>

<file path=xl/ctrlProps/ctrlProp222.xml><?xml version="1.0" encoding="utf-8"?>
<formControlPr xmlns="http://schemas.microsoft.com/office/spreadsheetml/2009/9/main" objectType="CheckBox" fmlaLink="$D$12" lockText="1" noThreeD="1"/>
</file>

<file path=xl/ctrlProps/ctrlProp223.xml><?xml version="1.0" encoding="utf-8"?>
<formControlPr xmlns="http://schemas.microsoft.com/office/spreadsheetml/2009/9/main" objectType="CheckBox" fmlaLink="$D$14" lockText="1" noThreeD="1"/>
</file>

<file path=xl/ctrlProps/ctrlProp224.xml><?xml version="1.0" encoding="utf-8"?>
<formControlPr xmlns="http://schemas.microsoft.com/office/spreadsheetml/2009/9/main" objectType="CheckBox" fmlaLink="$D$17" lockText="1" noThreeD="1"/>
</file>

<file path=xl/ctrlProps/ctrlProp225.xml><?xml version="1.0" encoding="utf-8"?>
<formControlPr xmlns="http://schemas.microsoft.com/office/spreadsheetml/2009/9/main" objectType="CheckBox" fmlaLink="$D$3" lockText="1" noThreeD="1"/>
</file>

<file path=xl/ctrlProps/ctrlProp226.xml><?xml version="1.0" encoding="utf-8"?>
<formControlPr xmlns="http://schemas.microsoft.com/office/spreadsheetml/2009/9/main" objectType="CheckBox" fmlaLink="$D$4" lockText="1" noThreeD="1"/>
</file>

<file path=xl/ctrlProps/ctrlProp227.xml><?xml version="1.0" encoding="utf-8"?>
<formControlPr xmlns="http://schemas.microsoft.com/office/spreadsheetml/2009/9/main" objectType="CheckBox" fmlaLink="$D$5" lockText="1" noThreeD="1"/>
</file>

<file path=xl/ctrlProps/ctrlProp228.xml><?xml version="1.0" encoding="utf-8"?>
<formControlPr xmlns="http://schemas.microsoft.com/office/spreadsheetml/2009/9/main" objectType="CheckBox" fmlaLink="$D$7" lockText="1" noThreeD="1"/>
</file>

<file path=xl/ctrlProps/ctrlProp229.xml><?xml version="1.0" encoding="utf-8"?>
<formControlPr xmlns="http://schemas.microsoft.com/office/spreadsheetml/2009/9/main" objectType="CheckBox" fmlaLink="$D$8" lockText="1" noThreeD="1"/>
</file>

<file path=xl/ctrlProps/ctrlProp230.xml><?xml version="1.0" encoding="utf-8"?>
<formControlPr xmlns="http://schemas.microsoft.com/office/spreadsheetml/2009/9/main" objectType="CheckBox" fmlaLink="$D$3" lockText="1" noThreeD="1"/>
</file>

<file path=xl/ctrlProps/ctrlProp231.xml><?xml version="1.0" encoding="utf-8"?>
<formControlPr xmlns="http://schemas.microsoft.com/office/spreadsheetml/2009/9/main" objectType="CheckBox" fmlaLink="$D$4" lockText="1" noThreeD="1"/>
</file>

<file path=xl/ctrlProps/ctrlProp232.xml><?xml version="1.0" encoding="utf-8"?>
<formControlPr xmlns="http://schemas.microsoft.com/office/spreadsheetml/2009/9/main" objectType="CheckBox" fmlaLink="$D$5" lockText="1" noThreeD="1"/>
</file>

<file path=xl/ctrlProps/ctrlProp233.xml><?xml version="1.0" encoding="utf-8"?>
<formControlPr xmlns="http://schemas.microsoft.com/office/spreadsheetml/2009/9/main" objectType="CheckBox" fmlaLink="$D$6" lockText="1" noThreeD="1"/>
</file>

<file path=xl/ctrlProps/ctrlProp234.xml><?xml version="1.0" encoding="utf-8"?>
<formControlPr xmlns="http://schemas.microsoft.com/office/spreadsheetml/2009/9/main" objectType="CheckBox" fmlaLink="$D$7" lockText="1" noThreeD="1"/>
</file>

<file path=xl/ctrlProps/ctrlProp235.xml><?xml version="1.0" encoding="utf-8"?>
<formControlPr xmlns="http://schemas.microsoft.com/office/spreadsheetml/2009/9/main" objectType="CheckBox" fmlaLink="$D$10" lockText="1" noThreeD="1"/>
</file>

<file path=xl/ctrlProps/ctrlProp236.xml><?xml version="1.0" encoding="utf-8"?>
<formControlPr xmlns="http://schemas.microsoft.com/office/spreadsheetml/2009/9/main" objectType="CheckBox" fmlaLink="$D$3" lockText="1" noThreeD="1"/>
</file>

<file path=xl/ctrlProps/ctrlProp237.xml><?xml version="1.0" encoding="utf-8"?>
<formControlPr xmlns="http://schemas.microsoft.com/office/spreadsheetml/2009/9/main" objectType="CheckBox" fmlaLink="$D$4" lockText="1" noThreeD="1"/>
</file>

<file path=xl/ctrlProps/ctrlProp238.xml><?xml version="1.0" encoding="utf-8"?>
<formControlPr xmlns="http://schemas.microsoft.com/office/spreadsheetml/2009/9/main" objectType="CheckBox" fmlaLink="$D$10" lockText="1" noThreeD="1"/>
</file>

<file path=xl/ctrlProps/ctrlProp239.xml><?xml version="1.0" encoding="utf-8"?>
<formControlPr xmlns="http://schemas.microsoft.com/office/spreadsheetml/2009/9/main" objectType="CheckBox" fmlaLink="$D$11" lockText="1" noThreeD="1"/>
</file>

<file path=xl/ctrlProps/ctrlProp240.xml><?xml version="1.0" encoding="utf-8"?>
<formControlPr xmlns="http://schemas.microsoft.com/office/spreadsheetml/2009/9/main" objectType="CheckBox" fmlaLink="$D$12" lockText="1" noThreeD="1"/>
</file>

<file path=xl/ctrlProps/ctrlProp241.xml><?xml version="1.0" encoding="utf-8"?>
<formControlPr xmlns="http://schemas.microsoft.com/office/spreadsheetml/2009/9/main" objectType="CheckBox" fmlaLink="$D$14" lockText="1" noThreeD="1"/>
</file>

<file path=xl/ctrlProps/ctrlProp242.xml><?xml version="1.0" encoding="utf-8"?>
<formControlPr xmlns="http://schemas.microsoft.com/office/spreadsheetml/2009/9/main" objectType="CheckBox" fmlaLink="$D$18" lockText="1" noThreeD="1"/>
</file>

<file path=xl/ctrlProps/ctrlProp243.xml><?xml version="1.0" encoding="utf-8"?>
<formControlPr xmlns="http://schemas.microsoft.com/office/spreadsheetml/2009/9/main" objectType="CheckBox" fmlaLink="$D$3" lockText="1" noThreeD="1"/>
</file>

<file path=xl/ctrlProps/ctrlProp244.xml><?xml version="1.0" encoding="utf-8"?>
<formControlPr xmlns="http://schemas.microsoft.com/office/spreadsheetml/2009/9/main" objectType="CheckBox" fmlaLink="$D$8" lockText="1" noThreeD="1"/>
</file>

<file path=xl/ctrlProps/ctrlProp245.xml><?xml version="1.0" encoding="utf-8"?>
<formControlPr xmlns="http://schemas.microsoft.com/office/spreadsheetml/2009/9/main" objectType="CheckBox" fmlaLink="$D$9" lockText="1" noThreeD="1"/>
</file>

<file path=xl/ctrlProps/ctrlProp246.xml><?xml version="1.0" encoding="utf-8"?>
<formControlPr xmlns="http://schemas.microsoft.com/office/spreadsheetml/2009/9/main" objectType="CheckBox" fmlaLink="$D$10" lockText="1" noThreeD="1"/>
</file>

<file path=xl/ctrlProps/ctrlProp247.xml><?xml version="1.0" encoding="utf-8"?>
<formControlPr xmlns="http://schemas.microsoft.com/office/spreadsheetml/2009/9/main" objectType="CheckBox" fmlaLink="$D$11" lockText="1" noThreeD="1"/>
</file>

<file path=xl/ctrlProps/ctrlProp248.xml><?xml version="1.0" encoding="utf-8"?>
<formControlPr xmlns="http://schemas.microsoft.com/office/spreadsheetml/2009/9/main" objectType="CheckBox" fmlaLink="$D$12" lockText="1" noThreeD="1"/>
</file>

<file path=xl/ctrlProps/ctrlProp249.xml><?xml version="1.0" encoding="utf-8"?>
<formControlPr xmlns="http://schemas.microsoft.com/office/spreadsheetml/2009/9/main" objectType="CheckBox" fmlaLink="$D$13" lockText="1" noThreeD="1"/>
</file>

<file path=xl/ctrlProps/ctrlProp250.xml><?xml version="1.0" encoding="utf-8"?>
<formControlPr xmlns="http://schemas.microsoft.com/office/spreadsheetml/2009/9/main" objectType="CheckBox" fmlaLink="$D$3" lockText="1" noThreeD="1"/>
</file>

<file path=xl/ctrlProps/ctrlProp251.xml><?xml version="1.0" encoding="utf-8"?>
<formControlPr xmlns="http://schemas.microsoft.com/office/spreadsheetml/2009/9/main" objectType="CheckBox" fmlaLink="$D$5" lockText="1" noThreeD="1"/>
</file>

<file path=xl/ctrlProps/ctrlProp252.xml><?xml version="1.0" encoding="utf-8"?>
<formControlPr xmlns="http://schemas.microsoft.com/office/spreadsheetml/2009/9/main" objectType="CheckBox" fmlaLink="$D$6" lockText="1" noThreeD="1"/>
</file>

<file path=xl/ctrlProps/ctrlProp253.xml><?xml version="1.0" encoding="utf-8"?>
<formControlPr xmlns="http://schemas.microsoft.com/office/spreadsheetml/2009/9/main" objectType="CheckBox" fmlaLink="$D$8" lockText="1" noThreeD="1"/>
</file>

<file path=xl/ctrlProps/ctrlProp254.xml><?xml version="1.0" encoding="utf-8"?>
<formControlPr xmlns="http://schemas.microsoft.com/office/spreadsheetml/2009/9/main" objectType="CheckBox" fmlaLink="$D$10" lockText="1" noThreeD="1"/>
</file>

<file path=xl/ctrlProps/ctrlProp255.xml><?xml version="1.0" encoding="utf-8"?>
<formControlPr xmlns="http://schemas.microsoft.com/office/spreadsheetml/2009/9/main" objectType="CheckBox" fmlaLink="$D$11" lockText="1" noThreeD="1"/>
</file>

<file path=xl/ctrlProps/ctrlProp256.xml><?xml version="1.0" encoding="utf-8"?>
<formControlPr xmlns="http://schemas.microsoft.com/office/spreadsheetml/2009/9/main" objectType="CheckBox" fmlaLink="$D$12" lockText="1" noThreeD="1"/>
</file>

<file path=xl/ctrlProps/ctrlProp257.xml><?xml version="1.0" encoding="utf-8"?>
<formControlPr xmlns="http://schemas.microsoft.com/office/spreadsheetml/2009/9/main" objectType="CheckBox" fmlaLink="$D$13" lockText="1" noThreeD="1"/>
</file>

<file path=xl/ctrlProps/ctrlProp258.xml><?xml version="1.0" encoding="utf-8"?>
<formControlPr xmlns="http://schemas.microsoft.com/office/spreadsheetml/2009/9/main" objectType="CheckBox" fmlaLink="$D$14" lockText="1" noThreeD="1"/>
</file>

<file path=xl/ctrlProps/ctrlProp259.xml><?xml version="1.0" encoding="utf-8"?>
<formControlPr xmlns="http://schemas.microsoft.com/office/spreadsheetml/2009/9/main" objectType="CheckBox" fmlaLink="$D$15" lockText="1" noThreeD="1"/>
</file>

<file path=xl/ctrlProps/ctrlProp260.xml><?xml version="1.0" encoding="utf-8"?>
<formControlPr xmlns="http://schemas.microsoft.com/office/spreadsheetml/2009/9/main" objectType="CheckBox" fmlaLink="$D$17" lockText="1" noThreeD="1"/>
</file>

<file path=xl/ctrlProps/ctrlProp261.xml><?xml version="1.0" encoding="utf-8"?>
<formControlPr xmlns="http://schemas.microsoft.com/office/spreadsheetml/2009/9/main" objectType="CheckBox" fmlaLink="$D$18" lockText="1" noThreeD="1"/>
</file>

<file path=xl/ctrlProps/ctrlProp262.xml><?xml version="1.0" encoding="utf-8"?>
<formControlPr xmlns="http://schemas.microsoft.com/office/spreadsheetml/2009/9/main" objectType="CheckBox" fmlaLink="$D$19" lockText="1" noThreeD="1"/>
</file>

<file path=xl/ctrlProps/ctrlProp263.xml><?xml version="1.0" encoding="utf-8"?>
<formControlPr xmlns="http://schemas.microsoft.com/office/spreadsheetml/2009/9/main" objectType="CheckBox" fmlaLink="$D$20" lockText="1" noThreeD="1"/>
</file>

<file path=xl/ctrlProps/ctrlProp264.xml><?xml version="1.0" encoding="utf-8"?>
<formControlPr xmlns="http://schemas.microsoft.com/office/spreadsheetml/2009/9/main" objectType="CheckBox" fmlaLink="$D$21" lockText="1" noThreeD="1"/>
</file>

<file path=xl/ctrlProps/ctrlProp265.xml><?xml version="1.0" encoding="utf-8"?>
<formControlPr xmlns="http://schemas.microsoft.com/office/spreadsheetml/2009/9/main" objectType="CheckBox" fmlaLink="$D$22" lockText="1" noThreeD="1"/>
</file>

<file path=xl/ctrlProps/ctrlProp266.xml><?xml version="1.0" encoding="utf-8"?>
<formControlPr xmlns="http://schemas.microsoft.com/office/spreadsheetml/2009/9/main" objectType="CheckBox" fmlaLink="$D$4" lockText="1" noThreeD="1"/>
</file>

<file path=xl/ctrlProps/ctrlProp267.xml><?xml version="1.0" encoding="utf-8"?>
<formControlPr xmlns="http://schemas.microsoft.com/office/spreadsheetml/2009/9/main" objectType="CheckBox" fmlaLink="$D$6" lockText="1" noThreeD="1"/>
</file>

<file path=xl/ctrlProps/ctrlProp268.xml><?xml version="1.0" encoding="utf-8"?>
<formControlPr xmlns="http://schemas.microsoft.com/office/spreadsheetml/2009/9/main" objectType="CheckBox" fmlaLink="$D$8" lockText="1" noThreeD="1"/>
</file>

<file path=xl/ctrlProps/ctrlProp269.xml><?xml version="1.0" encoding="utf-8"?>
<formControlPr xmlns="http://schemas.microsoft.com/office/spreadsheetml/2009/9/main" objectType="CheckBox" fmlaLink="$D$9" lockText="1" noThreeD="1"/>
</file>

<file path=xl/ctrlProps/ctrlProp270.xml><?xml version="1.0" encoding="utf-8"?>
<formControlPr xmlns="http://schemas.microsoft.com/office/spreadsheetml/2009/9/main" objectType="CheckBox" fmlaLink="$D$5" lockText="1" noThreeD="1"/>
</file>

<file path=xl/ctrlProps/ctrlProp271.xml><?xml version="1.0" encoding="utf-8"?>
<formControlPr xmlns="http://schemas.microsoft.com/office/spreadsheetml/2009/9/main" objectType="CheckBox" fmlaLink="$D$7" lockText="1" noThreeD="1"/>
</file>

<file path=xl/ctrlProps/ctrlProp272.xml><?xml version="1.0" encoding="utf-8"?>
<formControlPr xmlns="http://schemas.microsoft.com/office/spreadsheetml/2009/9/main" objectType="CheckBox" fmlaLink="$D$3" lockText="1" noThreeD="1"/>
</file>

<file path=xl/ctrlProps/ctrlProp273.xml><?xml version="1.0" encoding="utf-8"?>
<formControlPr xmlns="http://schemas.microsoft.com/office/spreadsheetml/2009/9/main" objectType="CheckBox" fmlaLink="$D$4" lockText="1" noThreeD="1"/>
</file>

<file path=xl/ctrlProps/ctrlProp274.xml><?xml version="1.0" encoding="utf-8"?>
<formControlPr xmlns="http://schemas.microsoft.com/office/spreadsheetml/2009/9/main" objectType="CheckBox" fmlaLink="$D$6" lockText="1" noThreeD="1"/>
</file>

<file path=xl/ctrlProps/ctrlProp275.xml><?xml version="1.0" encoding="utf-8"?>
<formControlPr xmlns="http://schemas.microsoft.com/office/spreadsheetml/2009/9/main" objectType="CheckBox" fmlaLink="$D$8" lockText="1" noThreeD="1"/>
</file>

<file path=xl/ctrlProps/ctrlProp276.xml><?xml version="1.0" encoding="utf-8"?>
<formControlPr xmlns="http://schemas.microsoft.com/office/spreadsheetml/2009/9/main" objectType="CheckBox" fmlaLink="$D$9" lockText="1" noThreeD="1"/>
</file>

<file path=xl/ctrlProps/ctrlProp277.xml><?xml version="1.0" encoding="utf-8"?>
<formControlPr xmlns="http://schemas.microsoft.com/office/spreadsheetml/2009/9/main" objectType="CheckBox" fmlaLink="$D$10" lockText="1" noThreeD="1"/>
</file>

<file path=xl/ctrlProps/ctrlProp278.xml><?xml version="1.0" encoding="utf-8"?>
<formControlPr xmlns="http://schemas.microsoft.com/office/spreadsheetml/2009/9/main" objectType="CheckBox" fmlaLink="$D$11" lockText="1" noThreeD="1"/>
</file>

<file path=xl/ctrlProps/ctrlProp279.xml><?xml version="1.0" encoding="utf-8"?>
<formControlPr xmlns="http://schemas.microsoft.com/office/spreadsheetml/2009/9/main" objectType="CheckBox" fmlaLink="$D$12" lockText="1" noThreeD="1"/>
</file>

<file path=xl/ctrlProps/ctrlProp280.xml><?xml version="1.0" encoding="utf-8"?>
<formControlPr xmlns="http://schemas.microsoft.com/office/spreadsheetml/2009/9/main" objectType="CheckBox" fmlaLink="$D$13" lockText="1" noThreeD="1"/>
</file>

<file path=xl/ctrlProps/ctrlProp281.xml><?xml version="1.0" encoding="utf-8"?>
<formControlPr xmlns="http://schemas.microsoft.com/office/spreadsheetml/2009/9/main" objectType="CheckBox" fmlaLink="$D$15" lockText="1" noThreeD="1"/>
</file>

<file path=xl/ctrlProps/ctrlProp282.xml><?xml version="1.0" encoding="utf-8"?>
<formControlPr xmlns="http://schemas.microsoft.com/office/spreadsheetml/2009/9/main" objectType="CheckBox" fmlaLink="$D$16" lockText="1" noThreeD="1"/>
</file>

<file path=xl/ctrlProps/ctrlProp283.xml><?xml version="1.0" encoding="utf-8"?>
<formControlPr xmlns="http://schemas.microsoft.com/office/spreadsheetml/2009/9/main" objectType="CheckBox" fmlaLink="$D$17" lockText="1" noThreeD="1"/>
</file>

<file path=xl/ctrlProps/ctrlProp284.xml><?xml version="1.0" encoding="utf-8"?>
<formControlPr xmlns="http://schemas.microsoft.com/office/spreadsheetml/2009/9/main" objectType="CheckBox" fmlaLink="$D$18" lockText="1" noThreeD="1"/>
</file>

<file path=xl/ctrlProps/ctrlProp285.xml><?xml version="1.0" encoding="utf-8"?>
<formControlPr xmlns="http://schemas.microsoft.com/office/spreadsheetml/2009/9/main" objectType="CheckBox" fmlaLink="$D$21" lockText="1" noThreeD="1"/>
</file>

<file path=xl/ctrlProps/ctrlProp286.xml><?xml version="1.0" encoding="utf-8"?>
<formControlPr xmlns="http://schemas.microsoft.com/office/spreadsheetml/2009/9/main" objectType="CheckBox" fmlaLink="$D$23" lockText="1" noThreeD="1"/>
</file>

<file path=xl/ctrlProps/ctrlProp287.xml><?xml version="1.0" encoding="utf-8"?>
<formControlPr xmlns="http://schemas.microsoft.com/office/spreadsheetml/2009/9/main" objectType="CheckBox" fmlaLink="$D$28" lockText="1" noThreeD="1"/>
</file>

<file path=xl/ctrlProps/ctrlProp288.xml><?xml version="1.0" encoding="utf-8"?>
<formControlPr xmlns="http://schemas.microsoft.com/office/spreadsheetml/2009/9/main" objectType="CheckBox" fmlaLink="$D$3" lockText="1" noThreeD="1"/>
</file>

<file path=xl/ctrlProps/ctrlProp289.xml><?xml version="1.0" encoding="utf-8"?>
<formControlPr xmlns="http://schemas.microsoft.com/office/spreadsheetml/2009/9/main" objectType="CheckBox" fmlaLink="$D$4" lockText="1" noThreeD="1"/>
</file>

<file path=xl/ctrlProps/ctrlProp290.xml><?xml version="1.0" encoding="utf-8"?>
<formControlPr xmlns="http://schemas.microsoft.com/office/spreadsheetml/2009/9/main" objectType="CheckBox" fmlaLink="$D$6" lockText="1" noThreeD="1"/>
</file>

<file path=xl/ctrlProps/ctrlProp291.xml><?xml version="1.0" encoding="utf-8"?>
<formControlPr xmlns="http://schemas.microsoft.com/office/spreadsheetml/2009/9/main" objectType="CheckBox" fmlaLink="$D$6" lockText="1" noThreeD="1"/>
</file>

<file path=xl/ctrlProps/ctrlProp292.xml><?xml version="1.0" encoding="utf-8"?>
<formControlPr xmlns="http://schemas.microsoft.com/office/spreadsheetml/2009/9/main" objectType="CheckBox" fmlaLink="$D$7" lockText="1" noThreeD="1"/>
</file>

<file path=xl/ctrlProps/ctrlProp293.xml><?xml version="1.0" encoding="utf-8"?>
<formControlPr xmlns="http://schemas.microsoft.com/office/spreadsheetml/2009/9/main" objectType="CheckBox" fmlaLink="$D$8" lockText="1" noThreeD="1"/>
</file>

<file path=xl/ctrlProps/ctrlProp294.xml><?xml version="1.0" encoding="utf-8"?>
<formControlPr xmlns="http://schemas.microsoft.com/office/spreadsheetml/2009/9/main" objectType="CheckBox" fmlaLink="$D$9" lockText="1" noThreeD="1"/>
</file>

<file path=xl/ctrlProps/ctrlProp295.xml><?xml version="1.0" encoding="utf-8"?>
<formControlPr xmlns="http://schemas.microsoft.com/office/spreadsheetml/2009/9/main" objectType="CheckBox" fmlaLink="$D$10" lockText="1" noThreeD="1"/>
</file>

<file path=xl/ctrlProps/ctrlProp296.xml><?xml version="1.0" encoding="utf-8"?>
<formControlPr xmlns="http://schemas.microsoft.com/office/spreadsheetml/2009/9/main" objectType="CheckBox" fmlaLink="$D$11" lockText="1" noThreeD="1"/>
</file>

<file path=xl/ctrlProps/ctrlProp297.xml><?xml version="1.0" encoding="utf-8"?>
<formControlPr xmlns="http://schemas.microsoft.com/office/spreadsheetml/2009/9/main" objectType="CheckBox" fmlaLink="$D$13" lockText="1" noThreeD="1"/>
</file>

<file path=xl/ctrlProps/ctrlProp298.xml><?xml version="1.0" encoding="utf-8"?>
<formControlPr xmlns="http://schemas.microsoft.com/office/spreadsheetml/2009/9/main" objectType="CheckBox" fmlaLink="$D$4" lockText="1" noThreeD="1"/>
</file>

<file path=xl/ctrlProps/ctrlProp299.xml><?xml version="1.0" encoding="utf-8"?>
<formControlPr xmlns="http://schemas.microsoft.com/office/spreadsheetml/2009/9/main" objectType="CheckBox" fmlaLink="$D$5" lockText="1" noThreeD="1"/>
</file>

<file path=xl/ctrlProps/ctrlProp300.xml><?xml version="1.0" encoding="utf-8"?>
<formControlPr xmlns="http://schemas.microsoft.com/office/spreadsheetml/2009/9/main" objectType="CheckBox" fmlaLink="$D$6" lockText="1" noThreeD="1"/>
</file>

<file path=xl/ctrlProps/ctrlProp301.xml><?xml version="1.0" encoding="utf-8"?>
<formControlPr xmlns="http://schemas.microsoft.com/office/spreadsheetml/2009/9/main" objectType="CheckBox" fmlaLink="$D$7" lockText="1" noThreeD="1"/>
</file>

<file path=xl/ctrlProps/ctrlProp302.xml><?xml version="1.0" encoding="utf-8"?>
<formControlPr xmlns="http://schemas.microsoft.com/office/spreadsheetml/2009/9/main" objectType="CheckBox" fmlaLink="$D$9" lockText="1" noThreeD="1"/>
</file>

<file path=xl/ctrlProps/ctrlProp303.xml><?xml version="1.0" encoding="utf-8"?>
<formControlPr xmlns="http://schemas.microsoft.com/office/spreadsheetml/2009/9/main" objectType="CheckBox" fmlaLink="$D$10" lockText="1" noThreeD="1"/>
</file>

<file path=xl/ctrlProps/ctrlProp304.xml><?xml version="1.0" encoding="utf-8"?>
<formControlPr xmlns="http://schemas.microsoft.com/office/spreadsheetml/2009/9/main" objectType="CheckBox" fmlaLink="$D$11"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8</xdr:col>
      <xdr:colOff>12700</xdr:colOff>
      <xdr:row>0</xdr:row>
      <xdr:rowOff>84667</xdr:rowOff>
    </xdr:from>
    <xdr:to>
      <xdr:col>27</xdr:col>
      <xdr:colOff>253999</xdr:colOff>
      <xdr:row>51</xdr:row>
      <xdr:rowOff>33867</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292100</xdr:colOff>
          <xdr:row>2</xdr:row>
          <xdr:rowOff>25400</xdr:rowOff>
        </xdr:from>
        <xdr:to>
          <xdr:col>2</xdr:col>
          <xdr:colOff>533400</xdr:colOff>
          <xdr:row>2</xdr:row>
          <xdr:rowOff>228600</xdr:rowOff>
        </xdr:to>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xdr:row>
          <xdr:rowOff>25400</xdr:rowOff>
        </xdr:from>
        <xdr:to>
          <xdr:col>2</xdr:col>
          <xdr:colOff>533400</xdr:colOff>
          <xdr:row>3</xdr:row>
          <xdr:rowOff>228600</xdr:rowOff>
        </xdr:to>
        <xdr:sp macro="" textlink="">
          <xdr:nvSpPr>
            <xdr:cNvPr id="2138" name="Check Box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xdr:row>
          <xdr:rowOff>25400</xdr:rowOff>
        </xdr:from>
        <xdr:to>
          <xdr:col>2</xdr:col>
          <xdr:colOff>533400</xdr:colOff>
          <xdr:row>4</xdr:row>
          <xdr:rowOff>228600</xdr:rowOff>
        </xdr:to>
        <xdr:sp macro="" textlink="">
          <xdr:nvSpPr>
            <xdr:cNvPr id="2139" name="Check Box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xdr:row>
          <xdr:rowOff>25400</xdr:rowOff>
        </xdr:from>
        <xdr:to>
          <xdr:col>2</xdr:col>
          <xdr:colOff>533400</xdr:colOff>
          <xdr:row>5</xdr:row>
          <xdr:rowOff>228600</xdr:rowOff>
        </xdr:to>
        <xdr:sp macro="" textlink="">
          <xdr:nvSpPr>
            <xdr:cNvPr id="2140" name="Check Box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6</xdr:row>
          <xdr:rowOff>25400</xdr:rowOff>
        </xdr:from>
        <xdr:to>
          <xdr:col>2</xdr:col>
          <xdr:colOff>533400</xdr:colOff>
          <xdr:row>6</xdr:row>
          <xdr:rowOff>228600</xdr:rowOff>
        </xdr:to>
        <xdr:sp macro="" textlink="">
          <xdr:nvSpPr>
            <xdr:cNvPr id="2141" name="Check Box 93"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xdr:row>
          <xdr:rowOff>25400</xdr:rowOff>
        </xdr:from>
        <xdr:to>
          <xdr:col>2</xdr:col>
          <xdr:colOff>533400</xdr:colOff>
          <xdr:row>7</xdr:row>
          <xdr:rowOff>228600</xdr:rowOff>
        </xdr:to>
        <xdr:sp macro="" textlink="">
          <xdr:nvSpPr>
            <xdr:cNvPr id="2142" name="Check Box 9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8</xdr:row>
          <xdr:rowOff>25400</xdr:rowOff>
        </xdr:from>
        <xdr:to>
          <xdr:col>2</xdr:col>
          <xdr:colOff>533400</xdr:colOff>
          <xdr:row>8</xdr:row>
          <xdr:rowOff>228600</xdr:rowOff>
        </xdr:to>
        <xdr:sp macro="" textlink="">
          <xdr:nvSpPr>
            <xdr:cNvPr id="2143" name="Check Box 9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xdr:row>
          <xdr:rowOff>25400</xdr:rowOff>
        </xdr:from>
        <xdr:to>
          <xdr:col>2</xdr:col>
          <xdr:colOff>533400</xdr:colOff>
          <xdr:row>9</xdr:row>
          <xdr:rowOff>228600</xdr:rowOff>
        </xdr:to>
        <xdr:sp macro="" textlink="">
          <xdr:nvSpPr>
            <xdr:cNvPr id="2144" name="Check Box 9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xdr:row>
          <xdr:rowOff>25400</xdr:rowOff>
        </xdr:from>
        <xdr:to>
          <xdr:col>2</xdr:col>
          <xdr:colOff>533400</xdr:colOff>
          <xdr:row>10</xdr:row>
          <xdr:rowOff>228600</xdr:rowOff>
        </xdr:to>
        <xdr:sp macro="" textlink="">
          <xdr:nvSpPr>
            <xdr:cNvPr id="2145" name="Check Box 97"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xdr:row>
          <xdr:rowOff>25400</xdr:rowOff>
        </xdr:from>
        <xdr:to>
          <xdr:col>2</xdr:col>
          <xdr:colOff>533400</xdr:colOff>
          <xdr:row>12</xdr:row>
          <xdr:rowOff>228600</xdr:rowOff>
        </xdr:to>
        <xdr:sp macro="" textlink="">
          <xdr:nvSpPr>
            <xdr:cNvPr id="2147" name="Check Box 99"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xdr:row>
          <xdr:rowOff>25400</xdr:rowOff>
        </xdr:from>
        <xdr:to>
          <xdr:col>2</xdr:col>
          <xdr:colOff>533400</xdr:colOff>
          <xdr:row>13</xdr:row>
          <xdr:rowOff>228600</xdr:rowOff>
        </xdr:to>
        <xdr:sp macro="" textlink="">
          <xdr:nvSpPr>
            <xdr:cNvPr id="2148" name="Check Box 100"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14</xdr:row>
          <xdr:rowOff>25400</xdr:rowOff>
        </xdr:from>
        <xdr:to>
          <xdr:col>2</xdr:col>
          <xdr:colOff>533400</xdr:colOff>
          <xdr:row>14</xdr:row>
          <xdr:rowOff>228600</xdr:rowOff>
        </xdr:to>
        <xdr:sp macro="" textlink="">
          <xdr:nvSpPr>
            <xdr:cNvPr id="2149" name="Check Box 101"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15</xdr:row>
          <xdr:rowOff>25400</xdr:rowOff>
        </xdr:from>
        <xdr:to>
          <xdr:col>2</xdr:col>
          <xdr:colOff>533400</xdr:colOff>
          <xdr:row>15</xdr:row>
          <xdr:rowOff>228600</xdr:rowOff>
        </xdr:to>
        <xdr:sp macro="" textlink="">
          <xdr:nvSpPr>
            <xdr:cNvPr id="2150" name="Check Box 102"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17</xdr:row>
          <xdr:rowOff>25400</xdr:rowOff>
        </xdr:from>
        <xdr:to>
          <xdr:col>2</xdr:col>
          <xdr:colOff>533400</xdr:colOff>
          <xdr:row>17</xdr:row>
          <xdr:rowOff>228600</xdr:rowOff>
        </xdr:to>
        <xdr:sp macro="" textlink="">
          <xdr:nvSpPr>
            <xdr:cNvPr id="2152" name="Check Box 104"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18</xdr:row>
          <xdr:rowOff>25400</xdr:rowOff>
        </xdr:from>
        <xdr:to>
          <xdr:col>2</xdr:col>
          <xdr:colOff>533400</xdr:colOff>
          <xdr:row>18</xdr:row>
          <xdr:rowOff>228600</xdr:rowOff>
        </xdr:to>
        <xdr:sp macro="" textlink="">
          <xdr:nvSpPr>
            <xdr:cNvPr id="2153" name="Check Box 105"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19</xdr:row>
          <xdr:rowOff>25400</xdr:rowOff>
        </xdr:from>
        <xdr:to>
          <xdr:col>2</xdr:col>
          <xdr:colOff>533400</xdr:colOff>
          <xdr:row>19</xdr:row>
          <xdr:rowOff>228600</xdr:rowOff>
        </xdr:to>
        <xdr:sp macro="" textlink="">
          <xdr:nvSpPr>
            <xdr:cNvPr id="2154" name="Check Box 106"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20</xdr:row>
          <xdr:rowOff>25400</xdr:rowOff>
        </xdr:from>
        <xdr:to>
          <xdr:col>2</xdr:col>
          <xdr:colOff>533400</xdr:colOff>
          <xdr:row>20</xdr:row>
          <xdr:rowOff>228600</xdr:rowOff>
        </xdr:to>
        <xdr:sp macro="" textlink="">
          <xdr:nvSpPr>
            <xdr:cNvPr id="2155" name="Check Box 107"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21</xdr:row>
          <xdr:rowOff>25400</xdr:rowOff>
        </xdr:from>
        <xdr:to>
          <xdr:col>2</xdr:col>
          <xdr:colOff>533400</xdr:colOff>
          <xdr:row>21</xdr:row>
          <xdr:rowOff>228600</xdr:rowOff>
        </xdr:to>
        <xdr:sp macro="" textlink="">
          <xdr:nvSpPr>
            <xdr:cNvPr id="2156" name="Check Box 108"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22</xdr:row>
          <xdr:rowOff>25400</xdr:rowOff>
        </xdr:from>
        <xdr:to>
          <xdr:col>2</xdr:col>
          <xdr:colOff>533400</xdr:colOff>
          <xdr:row>22</xdr:row>
          <xdr:rowOff>228600</xdr:rowOff>
        </xdr:to>
        <xdr:sp macro="" textlink="">
          <xdr:nvSpPr>
            <xdr:cNvPr id="2157" name="Check Box 109"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24</xdr:row>
          <xdr:rowOff>25400</xdr:rowOff>
        </xdr:from>
        <xdr:to>
          <xdr:col>2</xdr:col>
          <xdr:colOff>533400</xdr:colOff>
          <xdr:row>24</xdr:row>
          <xdr:rowOff>228600</xdr:rowOff>
        </xdr:to>
        <xdr:sp macro="" textlink="">
          <xdr:nvSpPr>
            <xdr:cNvPr id="2159" name="Check Box 111"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355600</xdr:colOff>
          <xdr:row>2</xdr:row>
          <xdr:rowOff>38100</xdr:rowOff>
        </xdr:from>
        <xdr:to>
          <xdr:col>2</xdr:col>
          <xdr:colOff>609600</xdr:colOff>
          <xdr:row>2</xdr:row>
          <xdr:rowOff>215900</xdr:rowOff>
        </xdr:to>
        <xdr:sp macro="" textlink="">
          <xdr:nvSpPr>
            <xdr:cNvPr id="3152" name="Check Box 80" hidden="1">
              <a:extLst>
                <a:ext uri="{63B3BB69-23CF-44E3-9099-C40C66FF867C}">
                  <a14:compatExt spid="_x0000_s3152"/>
                </a:ext>
                <a:ext uri="{FF2B5EF4-FFF2-40B4-BE49-F238E27FC236}">
                  <a16:creationId xmlns:a16="http://schemas.microsoft.com/office/drawing/2014/main" id="{00000000-0008-0000-0200-00005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3</xdr:row>
          <xdr:rowOff>38100</xdr:rowOff>
        </xdr:from>
        <xdr:to>
          <xdr:col>2</xdr:col>
          <xdr:colOff>609600</xdr:colOff>
          <xdr:row>3</xdr:row>
          <xdr:rowOff>215900</xdr:rowOff>
        </xdr:to>
        <xdr:sp macro="" textlink="">
          <xdr:nvSpPr>
            <xdr:cNvPr id="3153" name="Check Box 81" hidden="1">
              <a:extLst>
                <a:ext uri="{63B3BB69-23CF-44E3-9099-C40C66FF867C}">
                  <a14:compatExt spid="_x0000_s3153"/>
                </a:ext>
                <a:ext uri="{FF2B5EF4-FFF2-40B4-BE49-F238E27FC236}">
                  <a16:creationId xmlns:a16="http://schemas.microsoft.com/office/drawing/2014/main" id="{00000000-0008-0000-0200-00005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xdr:row>
          <xdr:rowOff>38100</xdr:rowOff>
        </xdr:from>
        <xdr:to>
          <xdr:col>2</xdr:col>
          <xdr:colOff>609600</xdr:colOff>
          <xdr:row>4</xdr:row>
          <xdr:rowOff>215900</xdr:rowOff>
        </xdr:to>
        <xdr:sp macro="" textlink="">
          <xdr:nvSpPr>
            <xdr:cNvPr id="3154" name="Check Box 82" hidden="1">
              <a:extLst>
                <a:ext uri="{63B3BB69-23CF-44E3-9099-C40C66FF867C}">
                  <a14:compatExt spid="_x0000_s3154"/>
                </a:ext>
                <a:ext uri="{FF2B5EF4-FFF2-40B4-BE49-F238E27FC236}">
                  <a16:creationId xmlns:a16="http://schemas.microsoft.com/office/drawing/2014/main" id="{00000000-0008-0000-0200-00005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5</xdr:row>
          <xdr:rowOff>38100</xdr:rowOff>
        </xdr:from>
        <xdr:to>
          <xdr:col>2</xdr:col>
          <xdr:colOff>609600</xdr:colOff>
          <xdr:row>5</xdr:row>
          <xdr:rowOff>215900</xdr:rowOff>
        </xdr:to>
        <xdr:sp macro="" textlink="">
          <xdr:nvSpPr>
            <xdr:cNvPr id="3155" name="Check Box 83" hidden="1">
              <a:extLst>
                <a:ext uri="{63B3BB69-23CF-44E3-9099-C40C66FF867C}">
                  <a14:compatExt spid="_x0000_s3155"/>
                </a:ext>
                <a:ext uri="{FF2B5EF4-FFF2-40B4-BE49-F238E27FC236}">
                  <a16:creationId xmlns:a16="http://schemas.microsoft.com/office/drawing/2014/main" id="{00000000-0008-0000-0200-00005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6</xdr:row>
          <xdr:rowOff>38100</xdr:rowOff>
        </xdr:from>
        <xdr:to>
          <xdr:col>2</xdr:col>
          <xdr:colOff>609600</xdr:colOff>
          <xdr:row>6</xdr:row>
          <xdr:rowOff>215900</xdr:rowOff>
        </xdr:to>
        <xdr:sp macro="" textlink="">
          <xdr:nvSpPr>
            <xdr:cNvPr id="3156" name="Check Box 84" hidden="1">
              <a:extLst>
                <a:ext uri="{63B3BB69-23CF-44E3-9099-C40C66FF867C}">
                  <a14:compatExt spid="_x0000_s3156"/>
                </a:ext>
                <a:ext uri="{FF2B5EF4-FFF2-40B4-BE49-F238E27FC236}">
                  <a16:creationId xmlns:a16="http://schemas.microsoft.com/office/drawing/2014/main" id="{00000000-0008-0000-0200-00005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8</xdr:row>
          <xdr:rowOff>38100</xdr:rowOff>
        </xdr:from>
        <xdr:to>
          <xdr:col>2</xdr:col>
          <xdr:colOff>609600</xdr:colOff>
          <xdr:row>8</xdr:row>
          <xdr:rowOff>215900</xdr:rowOff>
        </xdr:to>
        <xdr:sp macro="" textlink="">
          <xdr:nvSpPr>
            <xdr:cNvPr id="3157" name="Check Box 85" hidden="1">
              <a:extLst>
                <a:ext uri="{63B3BB69-23CF-44E3-9099-C40C66FF867C}">
                  <a14:compatExt spid="_x0000_s3157"/>
                </a:ext>
                <a:ext uri="{FF2B5EF4-FFF2-40B4-BE49-F238E27FC236}">
                  <a16:creationId xmlns:a16="http://schemas.microsoft.com/office/drawing/2014/main" id="{00000000-0008-0000-0200-00005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9</xdr:row>
          <xdr:rowOff>152400</xdr:rowOff>
        </xdr:from>
        <xdr:to>
          <xdr:col>2</xdr:col>
          <xdr:colOff>609600</xdr:colOff>
          <xdr:row>9</xdr:row>
          <xdr:rowOff>330200</xdr:rowOff>
        </xdr:to>
        <xdr:sp macro="" textlink="">
          <xdr:nvSpPr>
            <xdr:cNvPr id="3158" name="Check Box 86" hidden="1">
              <a:extLst>
                <a:ext uri="{63B3BB69-23CF-44E3-9099-C40C66FF867C}">
                  <a14:compatExt spid="_x0000_s3158"/>
                </a:ext>
                <a:ext uri="{FF2B5EF4-FFF2-40B4-BE49-F238E27FC236}">
                  <a16:creationId xmlns:a16="http://schemas.microsoft.com/office/drawing/2014/main" id="{00000000-0008-0000-0200-00005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10</xdr:row>
          <xdr:rowOff>38100</xdr:rowOff>
        </xdr:from>
        <xdr:to>
          <xdr:col>2</xdr:col>
          <xdr:colOff>609600</xdr:colOff>
          <xdr:row>10</xdr:row>
          <xdr:rowOff>215900</xdr:rowOff>
        </xdr:to>
        <xdr:sp macro="" textlink="">
          <xdr:nvSpPr>
            <xdr:cNvPr id="3159" name="Check Box 87" hidden="1">
              <a:extLst>
                <a:ext uri="{63B3BB69-23CF-44E3-9099-C40C66FF867C}">
                  <a14:compatExt spid="_x0000_s3159"/>
                </a:ext>
                <a:ext uri="{FF2B5EF4-FFF2-40B4-BE49-F238E27FC236}">
                  <a16:creationId xmlns:a16="http://schemas.microsoft.com/office/drawing/2014/main" id="{00000000-0008-0000-0200-00005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11</xdr:row>
          <xdr:rowOff>177800</xdr:rowOff>
        </xdr:from>
        <xdr:to>
          <xdr:col>2</xdr:col>
          <xdr:colOff>609600</xdr:colOff>
          <xdr:row>11</xdr:row>
          <xdr:rowOff>355600</xdr:rowOff>
        </xdr:to>
        <xdr:sp macro="" textlink="">
          <xdr:nvSpPr>
            <xdr:cNvPr id="3160" name="Check Box 88" hidden="1">
              <a:extLst>
                <a:ext uri="{63B3BB69-23CF-44E3-9099-C40C66FF867C}">
                  <a14:compatExt spid="_x0000_s3160"/>
                </a:ext>
                <a:ext uri="{FF2B5EF4-FFF2-40B4-BE49-F238E27FC236}">
                  <a16:creationId xmlns:a16="http://schemas.microsoft.com/office/drawing/2014/main" id="{00000000-0008-0000-0200-00005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12</xdr:row>
          <xdr:rowOff>38100</xdr:rowOff>
        </xdr:from>
        <xdr:to>
          <xdr:col>2</xdr:col>
          <xdr:colOff>609600</xdr:colOff>
          <xdr:row>12</xdr:row>
          <xdr:rowOff>215900</xdr:rowOff>
        </xdr:to>
        <xdr:sp macro="" textlink="">
          <xdr:nvSpPr>
            <xdr:cNvPr id="3161" name="Check Box 89" hidden="1">
              <a:extLst>
                <a:ext uri="{63B3BB69-23CF-44E3-9099-C40C66FF867C}">
                  <a14:compatExt spid="_x0000_s3161"/>
                </a:ext>
                <a:ext uri="{FF2B5EF4-FFF2-40B4-BE49-F238E27FC236}">
                  <a16:creationId xmlns:a16="http://schemas.microsoft.com/office/drawing/2014/main" id="{00000000-0008-0000-0200-00005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14</xdr:row>
          <xdr:rowOff>38100</xdr:rowOff>
        </xdr:from>
        <xdr:to>
          <xdr:col>2</xdr:col>
          <xdr:colOff>609600</xdr:colOff>
          <xdr:row>14</xdr:row>
          <xdr:rowOff>215900</xdr:rowOff>
        </xdr:to>
        <xdr:sp macro="" textlink="">
          <xdr:nvSpPr>
            <xdr:cNvPr id="3162" name="Check Box 90" hidden="1">
              <a:extLst>
                <a:ext uri="{63B3BB69-23CF-44E3-9099-C40C66FF867C}">
                  <a14:compatExt spid="_x0000_s3162"/>
                </a:ext>
                <a:ext uri="{FF2B5EF4-FFF2-40B4-BE49-F238E27FC236}">
                  <a16:creationId xmlns:a16="http://schemas.microsoft.com/office/drawing/2014/main" id="{00000000-0008-0000-0200-00005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15</xdr:row>
          <xdr:rowOff>38100</xdr:rowOff>
        </xdr:from>
        <xdr:to>
          <xdr:col>2</xdr:col>
          <xdr:colOff>609600</xdr:colOff>
          <xdr:row>15</xdr:row>
          <xdr:rowOff>215900</xdr:rowOff>
        </xdr:to>
        <xdr:sp macro="" textlink="">
          <xdr:nvSpPr>
            <xdr:cNvPr id="3163" name="Check Box 91" hidden="1">
              <a:extLst>
                <a:ext uri="{63B3BB69-23CF-44E3-9099-C40C66FF867C}">
                  <a14:compatExt spid="_x0000_s3163"/>
                </a:ext>
                <a:ext uri="{FF2B5EF4-FFF2-40B4-BE49-F238E27FC236}">
                  <a16:creationId xmlns:a16="http://schemas.microsoft.com/office/drawing/2014/main" id="{00000000-0008-0000-0200-00005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16</xdr:row>
          <xdr:rowOff>139700</xdr:rowOff>
        </xdr:from>
        <xdr:to>
          <xdr:col>2</xdr:col>
          <xdr:colOff>609600</xdr:colOff>
          <xdr:row>16</xdr:row>
          <xdr:rowOff>317500</xdr:rowOff>
        </xdr:to>
        <xdr:sp macro="" textlink="">
          <xdr:nvSpPr>
            <xdr:cNvPr id="3164" name="Check Box 92" hidden="1">
              <a:extLst>
                <a:ext uri="{63B3BB69-23CF-44E3-9099-C40C66FF867C}">
                  <a14:compatExt spid="_x0000_s3164"/>
                </a:ext>
                <a:ext uri="{FF2B5EF4-FFF2-40B4-BE49-F238E27FC236}">
                  <a16:creationId xmlns:a16="http://schemas.microsoft.com/office/drawing/2014/main" id="{00000000-0008-0000-0200-00005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17</xdr:row>
          <xdr:rowOff>38100</xdr:rowOff>
        </xdr:from>
        <xdr:to>
          <xdr:col>2</xdr:col>
          <xdr:colOff>609600</xdr:colOff>
          <xdr:row>17</xdr:row>
          <xdr:rowOff>215900</xdr:rowOff>
        </xdr:to>
        <xdr:sp macro="" textlink="">
          <xdr:nvSpPr>
            <xdr:cNvPr id="3165" name="Check Box 93" hidden="1">
              <a:extLst>
                <a:ext uri="{63B3BB69-23CF-44E3-9099-C40C66FF867C}">
                  <a14:compatExt spid="_x0000_s3165"/>
                </a:ext>
                <a:ext uri="{FF2B5EF4-FFF2-40B4-BE49-F238E27FC236}">
                  <a16:creationId xmlns:a16="http://schemas.microsoft.com/office/drawing/2014/main" id="{00000000-0008-0000-0200-00005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18</xdr:row>
          <xdr:rowOff>38100</xdr:rowOff>
        </xdr:from>
        <xdr:to>
          <xdr:col>2</xdr:col>
          <xdr:colOff>609600</xdr:colOff>
          <xdr:row>18</xdr:row>
          <xdr:rowOff>215900</xdr:rowOff>
        </xdr:to>
        <xdr:sp macro="" textlink="">
          <xdr:nvSpPr>
            <xdr:cNvPr id="3166" name="Check Box 94" hidden="1">
              <a:extLst>
                <a:ext uri="{63B3BB69-23CF-44E3-9099-C40C66FF867C}">
                  <a14:compatExt spid="_x0000_s3166"/>
                </a:ext>
                <a:ext uri="{FF2B5EF4-FFF2-40B4-BE49-F238E27FC236}">
                  <a16:creationId xmlns:a16="http://schemas.microsoft.com/office/drawing/2014/main" id="{00000000-0008-0000-0200-00005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20</xdr:row>
          <xdr:rowOff>38100</xdr:rowOff>
        </xdr:from>
        <xdr:to>
          <xdr:col>2</xdr:col>
          <xdr:colOff>609600</xdr:colOff>
          <xdr:row>20</xdr:row>
          <xdr:rowOff>215900</xdr:rowOff>
        </xdr:to>
        <xdr:sp macro="" textlink="">
          <xdr:nvSpPr>
            <xdr:cNvPr id="3167" name="Check Box 95" hidden="1">
              <a:extLst>
                <a:ext uri="{63B3BB69-23CF-44E3-9099-C40C66FF867C}">
                  <a14:compatExt spid="_x0000_s3167"/>
                </a:ext>
                <a:ext uri="{FF2B5EF4-FFF2-40B4-BE49-F238E27FC236}">
                  <a16:creationId xmlns:a16="http://schemas.microsoft.com/office/drawing/2014/main" id="{00000000-0008-0000-0200-00005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21</xdr:row>
          <xdr:rowOff>38100</xdr:rowOff>
        </xdr:from>
        <xdr:to>
          <xdr:col>2</xdr:col>
          <xdr:colOff>609600</xdr:colOff>
          <xdr:row>21</xdr:row>
          <xdr:rowOff>215900</xdr:rowOff>
        </xdr:to>
        <xdr:sp macro="" textlink="">
          <xdr:nvSpPr>
            <xdr:cNvPr id="3168" name="Check Box 96" hidden="1">
              <a:extLst>
                <a:ext uri="{63B3BB69-23CF-44E3-9099-C40C66FF867C}">
                  <a14:compatExt spid="_x0000_s3168"/>
                </a:ext>
                <a:ext uri="{FF2B5EF4-FFF2-40B4-BE49-F238E27FC236}">
                  <a16:creationId xmlns:a16="http://schemas.microsoft.com/office/drawing/2014/main" id="{00000000-0008-0000-0200-00006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22</xdr:row>
          <xdr:rowOff>38100</xdr:rowOff>
        </xdr:from>
        <xdr:to>
          <xdr:col>2</xdr:col>
          <xdr:colOff>609600</xdr:colOff>
          <xdr:row>22</xdr:row>
          <xdr:rowOff>215900</xdr:rowOff>
        </xdr:to>
        <xdr:sp macro="" textlink="">
          <xdr:nvSpPr>
            <xdr:cNvPr id="3169" name="Check Box 97" hidden="1">
              <a:extLst>
                <a:ext uri="{63B3BB69-23CF-44E3-9099-C40C66FF867C}">
                  <a14:compatExt spid="_x0000_s3169"/>
                </a:ext>
                <a:ext uri="{FF2B5EF4-FFF2-40B4-BE49-F238E27FC236}">
                  <a16:creationId xmlns:a16="http://schemas.microsoft.com/office/drawing/2014/main" id="{00000000-0008-0000-0200-00006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23</xdr:row>
          <xdr:rowOff>152400</xdr:rowOff>
        </xdr:from>
        <xdr:to>
          <xdr:col>2</xdr:col>
          <xdr:colOff>609600</xdr:colOff>
          <xdr:row>23</xdr:row>
          <xdr:rowOff>330200</xdr:rowOff>
        </xdr:to>
        <xdr:sp macro="" textlink="">
          <xdr:nvSpPr>
            <xdr:cNvPr id="3170" name="Check Box 98" hidden="1">
              <a:extLst>
                <a:ext uri="{63B3BB69-23CF-44E3-9099-C40C66FF867C}">
                  <a14:compatExt spid="_x0000_s3170"/>
                </a:ext>
                <a:ext uri="{FF2B5EF4-FFF2-40B4-BE49-F238E27FC236}">
                  <a16:creationId xmlns:a16="http://schemas.microsoft.com/office/drawing/2014/main" id="{00000000-0008-0000-0200-00006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24</xdr:row>
          <xdr:rowOff>38100</xdr:rowOff>
        </xdr:from>
        <xdr:to>
          <xdr:col>2</xdr:col>
          <xdr:colOff>609600</xdr:colOff>
          <xdr:row>24</xdr:row>
          <xdr:rowOff>215900</xdr:rowOff>
        </xdr:to>
        <xdr:sp macro="" textlink="">
          <xdr:nvSpPr>
            <xdr:cNvPr id="3171" name="Check Box 99" hidden="1">
              <a:extLst>
                <a:ext uri="{63B3BB69-23CF-44E3-9099-C40C66FF867C}">
                  <a14:compatExt spid="_x0000_s3171"/>
                </a:ext>
                <a:ext uri="{FF2B5EF4-FFF2-40B4-BE49-F238E27FC236}">
                  <a16:creationId xmlns:a16="http://schemas.microsoft.com/office/drawing/2014/main" id="{00000000-0008-0000-0200-00006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25</xdr:row>
          <xdr:rowOff>38100</xdr:rowOff>
        </xdr:from>
        <xdr:to>
          <xdr:col>2</xdr:col>
          <xdr:colOff>609600</xdr:colOff>
          <xdr:row>25</xdr:row>
          <xdr:rowOff>215900</xdr:rowOff>
        </xdr:to>
        <xdr:sp macro="" textlink="">
          <xdr:nvSpPr>
            <xdr:cNvPr id="3172" name="Check Box 100" hidden="1">
              <a:extLst>
                <a:ext uri="{63B3BB69-23CF-44E3-9099-C40C66FF867C}">
                  <a14:compatExt spid="_x0000_s3172"/>
                </a:ext>
                <a:ext uri="{FF2B5EF4-FFF2-40B4-BE49-F238E27FC236}">
                  <a16:creationId xmlns:a16="http://schemas.microsoft.com/office/drawing/2014/main" id="{00000000-0008-0000-0200-00006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317500</xdr:colOff>
          <xdr:row>3</xdr:row>
          <xdr:rowOff>25400</xdr:rowOff>
        </xdr:from>
        <xdr:to>
          <xdr:col>2</xdr:col>
          <xdr:colOff>609600</xdr:colOff>
          <xdr:row>3</xdr:row>
          <xdr:rowOff>241300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3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4</xdr:row>
          <xdr:rowOff>25400</xdr:rowOff>
        </xdr:from>
        <xdr:to>
          <xdr:col>2</xdr:col>
          <xdr:colOff>609600</xdr:colOff>
          <xdr:row>4</xdr:row>
          <xdr:rowOff>228600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3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5</xdr:row>
          <xdr:rowOff>25400</xdr:rowOff>
        </xdr:from>
        <xdr:to>
          <xdr:col>2</xdr:col>
          <xdr:colOff>609600</xdr:colOff>
          <xdr:row>5</xdr:row>
          <xdr:rowOff>228600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3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6</xdr:row>
          <xdr:rowOff>25400</xdr:rowOff>
        </xdr:from>
        <xdr:to>
          <xdr:col>2</xdr:col>
          <xdr:colOff>609600</xdr:colOff>
          <xdr:row>6</xdr:row>
          <xdr:rowOff>228600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3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7</xdr:row>
          <xdr:rowOff>25400</xdr:rowOff>
        </xdr:from>
        <xdr:to>
          <xdr:col>2</xdr:col>
          <xdr:colOff>609600</xdr:colOff>
          <xdr:row>7</xdr:row>
          <xdr:rowOff>228600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3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8</xdr:row>
          <xdr:rowOff>25400</xdr:rowOff>
        </xdr:from>
        <xdr:to>
          <xdr:col>2</xdr:col>
          <xdr:colOff>609600</xdr:colOff>
          <xdr:row>8</xdr:row>
          <xdr:rowOff>228600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3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9</xdr:row>
          <xdr:rowOff>25400</xdr:rowOff>
        </xdr:from>
        <xdr:to>
          <xdr:col>2</xdr:col>
          <xdr:colOff>609600</xdr:colOff>
          <xdr:row>9</xdr:row>
          <xdr:rowOff>228600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3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10</xdr:row>
          <xdr:rowOff>25400</xdr:rowOff>
        </xdr:from>
        <xdr:to>
          <xdr:col>2</xdr:col>
          <xdr:colOff>609600</xdr:colOff>
          <xdr:row>10</xdr:row>
          <xdr:rowOff>228600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3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11</xdr:row>
          <xdr:rowOff>25400</xdr:rowOff>
        </xdr:from>
        <xdr:to>
          <xdr:col>2</xdr:col>
          <xdr:colOff>609600</xdr:colOff>
          <xdr:row>11</xdr:row>
          <xdr:rowOff>228600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3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12</xdr:row>
          <xdr:rowOff>25400</xdr:rowOff>
        </xdr:from>
        <xdr:to>
          <xdr:col>2</xdr:col>
          <xdr:colOff>609600</xdr:colOff>
          <xdr:row>12</xdr:row>
          <xdr:rowOff>228600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3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14</xdr:row>
          <xdr:rowOff>25400</xdr:rowOff>
        </xdr:from>
        <xdr:to>
          <xdr:col>2</xdr:col>
          <xdr:colOff>609600</xdr:colOff>
          <xdr:row>14</xdr:row>
          <xdr:rowOff>228600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3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15</xdr:row>
          <xdr:rowOff>25400</xdr:rowOff>
        </xdr:from>
        <xdr:to>
          <xdr:col>2</xdr:col>
          <xdr:colOff>609600</xdr:colOff>
          <xdr:row>15</xdr:row>
          <xdr:rowOff>228600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3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16</xdr:row>
          <xdr:rowOff>25400</xdr:rowOff>
        </xdr:from>
        <xdr:to>
          <xdr:col>2</xdr:col>
          <xdr:colOff>609600</xdr:colOff>
          <xdr:row>16</xdr:row>
          <xdr:rowOff>228600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3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17</xdr:row>
          <xdr:rowOff>0</xdr:rowOff>
        </xdr:from>
        <xdr:to>
          <xdr:col>2</xdr:col>
          <xdr:colOff>609600</xdr:colOff>
          <xdr:row>17</xdr:row>
          <xdr:rowOff>203200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3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18</xdr:row>
          <xdr:rowOff>25400</xdr:rowOff>
        </xdr:from>
        <xdr:to>
          <xdr:col>2</xdr:col>
          <xdr:colOff>609600</xdr:colOff>
          <xdr:row>19</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3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19</xdr:row>
          <xdr:rowOff>25400</xdr:rowOff>
        </xdr:from>
        <xdr:to>
          <xdr:col>2</xdr:col>
          <xdr:colOff>609600</xdr:colOff>
          <xdr:row>19</xdr:row>
          <xdr:rowOff>241300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3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330200</xdr:colOff>
          <xdr:row>3</xdr:row>
          <xdr:rowOff>177800</xdr:rowOff>
        </xdr:from>
        <xdr:to>
          <xdr:col>2</xdr:col>
          <xdr:colOff>596900</xdr:colOff>
          <xdr:row>3</xdr:row>
          <xdr:rowOff>368300</xdr:rowOff>
        </xdr:to>
        <xdr:sp macro="" textlink="">
          <xdr:nvSpPr>
            <xdr:cNvPr id="10330" name="Check Box 90" hidden="1">
              <a:extLst>
                <a:ext uri="{63B3BB69-23CF-44E3-9099-C40C66FF867C}">
                  <a14:compatExt spid="_x0000_s10330"/>
                </a:ext>
                <a:ext uri="{FF2B5EF4-FFF2-40B4-BE49-F238E27FC236}">
                  <a16:creationId xmlns:a16="http://schemas.microsoft.com/office/drawing/2014/main" id="{00000000-0008-0000-0400-00005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xdr:row>
          <xdr:rowOff>177800</xdr:rowOff>
        </xdr:from>
        <xdr:to>
          <xdr:col>2</xdr:col>
          <xdr:colOff>596900</xdr:colOff>
          <xdr:row>4</xdr:row>
          <xdr:rowOff>368300</xdr:rowOff>
        </xdr:to>
        <xdr:sp macro="" textlink="">
          <xdr:nvSpPr>
            <xdr:cNvPr id="10331" name="Check Box 91" hidden="1">
              <a:extLst>
                <a:ext uri="{63B3BB69-23CF-44E3-9099-C40C66FF867C}">
                  <a14:compatExt spid="_x0000_s10331"/>
                </a:ext>
                <a:ext uri="{FF2B5EF4-FFF2-40B4-BE49-F238E27FC236}">
                  <a16:creationId xmlns:a16="http://schemas.microsoft.com/office/drawing/2014/main" id="{00000000-0008-0000-0400-00005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xdr:row>
          <xdr:rowOff>177800</xdr:rowOff>
        </xdr:from>
        <xdr:to>
          <xdr:col>2</xdr:col>
          <xdr:colOff>596900</xdr:colOff>
          <xdr:row>5</xdr:row>
          <xdr:rowOff>368300</xdr:rowOff>
        </xdr:to>
        <xdr:sp macro="" textlink="">
          <xdr:nvSpPr>
            <xdr:cNvPr id="10332" name="Check Box 92" hidden="1">
              <a:extLst>
                <a:ext uri="{63B3BB69-23CF-44E3-9099-C40C66FF867C}">
                  <a14:compatExt spid="_x0000_s10332"/>
                </a:ext>
                <a:ext uri="{FF2B5EF4-FFF2-40B4-BE49-F238E27FC236}">
                  <a16:creationId xmlns:a16="http://schemas.microsoft.com/office/drawing/2014/main" id="{00000000-0008-0000-0400-00005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xdr:row>
          <xdr:rowOff>177800</xdr:rowOff>
        </xdr:from>
        <xdr:to>
          <xdr:col>2</xdr:col>
          <xdr:colOff>596900</xdr:colOff>
          <xdr:row>6</xdr:row>
          <xdr:rowOff>368300</xdr:rowOff>
        </xdr:to>
        <xdr:sp macro="" textlink="">
          <xdr:nvSpPr>
            <xdr:cNvPr id="10333" name="Check Box 93" hidden="1">
              <a:extLst>
                <a:ext uri="{63B3BB69-23CF-44E3-9099-C40C66FF867C}">
                  <a14:compatExt spid="_x0000_s10333"/>
                </a:ext>
                <a:ext uri="{FF2B5EF4-FFF2-40B4-BE49-F238E27FC236}">
                  <a16:creationId xmlns:a16="http://schemas.microsoft.com/office/drawing/2014/main" id="{00000000-0008-0000-0400-00005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xdr:row>
          <xdr:rowOff>25400</xdr:rowOff>
        </xdr:from>
        <xdr:to>
          <xdr:col>2</xdr:col>
          <xdr:colOff>596900</xdr:colOff>
          <xdr:row>7</xdr:row>
          <xdr:rowOff>215900</xdr:rowOff>
        </xdr:to>
        <xdr:sp macro="" textlink="">
          <xdr:nvSpPr>
            <xdr:cNvPr id="10334" name="Check Box 94" hidden="1">
              <a:extLst>
                <a:ext uri="{63B3BB69-23CF-44E3-9099-C40C66FF867C}">
                  <a14:compatExt spid="_x0000_s10334"/>
                </a:ext>
                <a:ext uri="{FF2B5EF4-FFF2-40B4-BE49-F238E27FC236}">
                  <a16:creationId xmlns:a16="http://schemas.microsoft.com/office/drawing/2014/main" id="{00000000-0008-0000-0400-00005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8</xdr:row>
          <xdr:rowOff>25400</xdr:rowOff>
        </xdr:from>
        <xdr:to>
          <xdr:col>2</xdr:col>
          <xdr:colOff>596900</xdr:colOff>
          <xdr:row>8</xdr:row>
          <xdr:rowOff>215900</xdr:rowOff>
        </xdr:to>
        <xdr:sp macro="" textlink="">
          <xdr:nvSpPr>
            <xdr:cNvPr id="10335" name="Check Box 95" hidden="1">
              <a:extLst>
                <a:ext uri="{63B3BB69-23CF-44E3-9099-C40C66FF867C}">
                  <a14:compatExt spid="_x0000_s10335"/>
                </a:ext>
                <a:ext uri="{FF2B5EF4-FFF2-40B4-BE49-F238E27FC236}">
                  <a16:creationId xmlns:a16="http://schemas.microsoft.com/office/drawing/2014/main" id="{00000000-0008-0000-0400-00005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9</xdr:row>
          <xdr:rowOff>177800</xdr:rowOff>
        </xdr:from>
        <xdr:to>
          <xdr:col>2</xdr:col>
          <xdr:colOff>596900</xdr:colOff>
          <xdr:row>9</xdr:row>
          <xdr:rowOff>368300</xdr:rowOff>
        </xdr:to>
        <xdr:sp macro="" textlink="">
          <xdr:nvSpPr>
            <xdr:cNvPr id="10336" name="Check Box 96" hidden="1">
              <a:extLst>
                <a:ext uri="{63B3BB69-23CF-44E3-9099-C40C66FF867C}">
                  <a14:compatExt spid="_x0000_s10336"/>
                </a:ext>
                <a:ext uri="{FF2B5EF4-FFF2-40B4-BE49-F238E27FC236}">
                  <a16:creationId xmlns:a16="http://schemas.microsoft.com/office/drawing/2014/main" id="{00000000-0008-0000-0400-00006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10</xdr:row>
          <xdr:rowOff>177800</xdr:rowOff>
        </xdr:from>
        <xdr:to>
          <xdr:col>2</xdr:col>
          <xdr:colOff>596900</xdr:colOff>
          <xdr:row>10</xdr:row>
          <xdr:rowOff>368300</xdr:rowOff>
        </xdr:to>
        <xdr:sp macro="" textlink="">
          <xdr:nvSpPr>
            <xdr:cNvPr id="10337" name="Check Box 97" hidden="1">
              <a:extLst>
                <a:ext uri="{63B3BB69-23CF-44E3-9099-C40C66FF867C}">
                  <a14:compatExt spid="_x0000_s10337"/>
                </a:ext>
                <a:ext uri="{FF2B5EF4-FFF2-40B4-BE49-F238E27FC236}">
                  <a16:creationId xmlns:a16="http://schemas.microsoft.com/office/drawing/2014/main" id="{00000000-0008-0000-0400-00006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11</xdr:row>
          <xdr:rowOff>177800</xdr:rowOff>
        </xdr:from>
        <xdr:to>
          <xdr:col>2</xdr:col>
          <xdr:colOff>596900</xdr:colOff>
          <xdr:row>11</xdr:row>
          <xdr:rowOff>368300</xdr:rowOff>
        </xdr:to>
        <xdr:sp macro="" textlink="">
          <xdr:nvSpPr>
            <xdr:cNvPr id="10338" name="Check Box 98" hidden="1">
              <a:extLst>
                <a:ext uri="{63B3BB69-23CF-44E3-9099-C40C66FF867C}">
                  <a14:compatExt spid="_x0000_s10338"/>
                </a:ext>
                <a:ext uri="{FF2B5EF4-FFF2-40B4-BE49-F238E27FC236}">
                  <a16:creationId xmlns:a16="http://schemas.microsoft.com/office/drawing/2014/main" id="{00000000-0008-0000-0400-00006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12</xdr:row>
          <xdr:rowOff>177800</xdr:rowOff>
        </xdr:from>
        <xdr:to>
          <xdr:col>2</xdr:col>
          <xdr:colOff>596900</xdr:colOff>
          <xdr:row>12</xdr:row>
          <xdr:rowOff>368300</xdr:rowOff>
        </xdr:to>
        <xdr:sp macro="" textlink="">
          <xdr:nvSpPr>
            <xdr:cNvPr id="10339" name="Check Box 99" hidden="1">
              <a:extLst>
                <a:ext uri="{63B3BB69-23CF-44E3-9099-C40C66FF867C}">
                  <a14:compatExt spid="_x0000_s10339"/>
                </a:ext>
                <a:ext uri="{FF2B5EF4-FFF2-40B4-BE49-F238E27FC236}">
                  <a16:creationId xmlns:a16="http://schemas.microsoft.com/office/drawing/2014/main" id="{00000000-0008-0000-0400-00006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13</xdr:row>
          <xdr:rowOff>177800</xdr:rowOff>
        </xdr:from>
        <xdr:to>
          <xdr:col>2</xdr:col>
          <xdr:colOff>596900</xdr:colOff>
          <xdr:row>13</xdr:row>
          <xdr:rowOff>368300</xdr:rowOff>
        </xdr:to>
        <xdr:sp macro="" textlink="">
          <xdr:nvSpPr>
            <xdr:cNvPr id="10340" name="Check Box 100" hidden="1">
              <a:extLst>
                <a:ext uri="{63B3BB69-23CF-44E3-9099-C40C66FF867C}">
                  <a14:compatExt spid="_x0000_s10340"/>
                </a:ext>
                <a:ext uri="{FF2B5EF4-FFF2-40B4-BE49-F238E27FC236}">
                  <a16:creationId xmlns:a16="http://schemas.microsoft.com/office/drawing/2014/main" id="{00000000-0008-0000-0400-00006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14</xdr:row>
          <xdr:rowOff>177800</xdr:rowOff>
        </xdr:from>
        <xdr:to>
          <xdr:col>2</xdr:col>
          <xdr:colOff>596900</xdr:colOff>
          <xdr:row>14</xdr:row>
          <xdr:rowOff>368300</xdr:rowOff>
        </xdr:to>
        <xdr:sp macro="" textlink="">
          <xdr:nvSpPr>
            <xdr:cNvPr id="10341" name="Check Box 101" hidden="1">
              <a:extLst>
                <a:ext uri="{63B3BB69-23CF-44E3-9099-C40C66FF867C}">
                  <a14:compatExt spid="_x0000_s10341"/>
                </a:ext>
                <a:ext uri="{FF2B5EF4-FFF2-40B4-BE49-F238E27FC236}">
                  <a16:creationId xmlns:a16="http://schemas.microsoft.com/office/drawing/2014/main" id="{00000000-0008-0000-0400-00006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16</xdr:row>
          <xdr:rowOff>25400</xdr:rowOff>
        </xdr:from>
        <xdr:to>
          <xdr:col>2</xdr:col>
          <xdr:colOff>596900</xdr:colOff>
          <xdr:row>16</xdr:row>
          <xdr:rowOff>215900</xdr:rowOff>
        </xdr:to>
        <xdr:sp macro="" textlink="">
          <xdr:nvSpPr>
            <xdr:cNvPr id="10342" name="Check Box 102" hidden="1">
              <a:extLst>
                <a:ext uri="{63B3BB69-23CF-44E3-9099-C40C66FF867C}">
                  <a14:compatExt spid="_x0000_s10342"/>
                </a:ext>
                <a:ext uri="{FF2B5EF4-FFF2-40B4-BE49-F238E27FC236}">
                  <a16:creationId xmlns:a16="http://schemas.microsoft.com/office/drawing/2014/main" id="{00000000-0008-0000-0400-00006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17</xdr:row>
          <xdr:rowOff>25400</xdr:rowOff>
        </xdr:from>
        <xdr:to>
          <xdr:col>2</xdr:col>
          <xdr:colOff>596900</xdr:colOff>
          <xdr:row>17</xdr:row>
          <xdr:rowOff>215900</xdr:rowOff>
        </xdr:to>
        <xdr:sp macro="" textlink="">
          <xdr:nvSpPr>
            <xdr:cNvPr id="10343" name="Check Box 103" hidden="1">
              <a:extLst>
                <a:ext uri="{63B3BB69-23CF-44E3-9099-C40C66FF867C}">
                  <a14:compatExt spid="_x0000_s10343"/>
                </a:ext>
                <a:ext uri="{FF2B5EF4-FFF2-40B4-BE49-F238E27FC236}">
                  <a16:creationId xmlns:a16="http://schemas.microsoft.com/office/drawing/2014/main" id="{00000000-0008-0000-0400-00006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18</xdr:row>
          <xdr:rowOff>25400</xdr:rowOff>
        </xdr:from>
        <xdr:to>
          <xdr:col>2</xdr:col>
          <xdr:colOff>596900</xdr:colOff>
          <xdr:row>18</xdr:row>
          <xdr:rowOff>215900</xdr:rowOff>
        </xdr:to>
        <xdr:sp macro="" textlink="">
          <xdr:nvSpPr>
            <xdr:cNvPr id="10344" name="Check Box 104" hidden="1">
              <a:extLst>
                <a:ext uri="{63B3BB69-23CF-44E3-9099-C40C66FF867C}">
                  <a14:compatExt spid="_x0000_s10344"/>
                </a:ext>
                <a:ext uri="{FF2B5EF4-FFF2-40B4-BE49-F238E27FC236}">
                  <a16:creationId xmlns:a16="http://schemas.microsoft.com/office/drawing/2014/main" id="{00000000-0008-0000-0400-00006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19</xdr:row>
          <xdr:rowOff>25400</xdr:rowOff>
        </xdr:from>
        <xdr:to>
          <xdr:col>2</xdr:col>
          <xdr:colOff>596900</xdr:colOff>
          <xdr:row>19</xdr:row>
          <xdr:rowOff>215900</xdr:rowOff>
        </xdr:to>
        <xdr:sp macro="" textlink="">
          <xdr:nvSpPr>
            <xdr:cNvPr id="10345" name="Check Box 105" hidden="1">
              <a:extLst>
                <a:ext uri="{63B3BB69-23CF-44E3-9099-C40C66FF867C}">
                  <a14:compatExt spid="_x0000_s10345"/>
                </a:ext>
                <a:ext uri="{FF2B5EF4-FFF2-40B4-BE49-F238E27FC236}">
                  <a16:creationId xmlns:a16="http://schemas.microsoft.com/office/drawing/2014/main" id="{00000000-0008-0000-0400-00006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20</xdr:row>
          <xdr:rowOff>25400</xdr:rowOff>
        </xdr:from>
        <xdr:to>
          <xdr:col>2</xdr:col>
          <xdr:colOff>596900</xdr:colOff>
          <xdr:row>20</xdr:row>
          <xdr:rowOff>215900</xdr:rowOff>
        </xdr:to>
        <xdr:sp macro="" textlink="">
          <xdr:nvSpPr>
            <xdr:cNvPr id="10346" name="Check Box 106" hidden="1">
              <a:extLst>
                <a:ext uri="{63B3BB69-23CF-44E3-9099-C40C66FF867C}">
                  <a14:compatExt spid="_x0000_s10346"/>
                </a:ext>
                <a:ext uri="{FF2B5EF4-FFF2-40B4-BE49-F238E27FC236}">
                  <a16:creationId xmlns:a16="http://schemas.microsoft.com/office/drawing/2014/main" id="{00000000-0008-0000-0400-00006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21</xdr:row>
          <xdr:rowOff>25400</xdr:rowOff>
        </xdr:from>
        <xdr:to>
          <xdr:col>2</xdr:col>
          <xdr:colOff>596900</xdr:colOff>
          <xdr:row>21</xdr:row>
          <xdr:rowOff>215900</xdr:rowOff>
        </xdr:to>
        <xdr:sp macro="" textlink="">
          <xdr:nvSpPr>
            <xdr:cNvPr id="10347" name="Check Box 107" hidden="1">
              <a:extLst>
                <a:ext uri="{63B3BB69-23CF-44E3-9099-C40C66FF867C}">
                  <a14:compatExt spid="_x0000_s10347"/>
                </a:ext>
                <a:ext uri="{FF2B5EF4-FFF2-40B4-BE49-F238E27FC236}">
                  <a16:creationId xmlns:a16="http://schemas.microsoft.com/office/drawing/2014/main" id="{00000000-0008-0000-0400-00006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22</xdr:row>
          <xdr:rowOff>25400</xdr:rowOff>
        </xdr:from>
        <xdr:to>
          <xdr:col>2</xdr:col>
          <xdr:colOff>596900</xdr:colOff>
          <xdr:row>22</xdr:row>
          <xdr:rowOff>215900</xdr:rowOff>
        </xdr:to>
        <xdr:sp macro="" textlink="">
          <xdr:nvSpPr>
            <xdr:cNvPr id="10348" name="Check Box 108" hidden="1">
              <a:extLst>
                <a:ext uri="{63B3BB69-23CF-44E3-9099-C40C66FF867C}">
                  <a14:compatExt spid="_x0000_s10348"/>
                </a:ext>
                <a:ext uri="{FF2B5EF4-FFF2-40B4-BE49-F238E27FC236}">
                  <a16:creationId xmlns:a16="http://schemas.microsoft.com/office/drawing/2014/main" id="{00000000-0008-0000-0400-00006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23</xdr:row>
          <xdr:rowOff>25400</xdr:rowOff>
        </xdr:from>
        <xdr:to>
          <xdr:col>2</xdr:col>
          <xdr:colOff>596900</xdr:colOff>
          <xdr:row>23</xdr:row>
          <xdr:rowOff>215900</xdr:rowOff>
        </xdr:to>
        <xdr:sp macro="" textlink="">
          <xdr:nvSpPr>
            <xdr:cNvPr id="10349" name="Check Box 109" hidden="1">
              <a:extLst>
                <a:ext uri="{63B3BB69-23CF-44E3-9099-C40C66FF867C}">
                  <a14:compatExt spid="_x0000_s10349"/>
                </a:ext>
                <a:ext uri="{FF2B5EF4-FFF2-40B4-BE49-F238E27FC236}">
                  <a16:creationId xmlns:a16="http://schemas.microsoft.com/office/drawing/2014/main" id="{00000000-0008-0000-0400-00006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24</xdr:row>
          <xdr:rowOff>25400</xdr:rowOff>
        </xdr:from>
        <xdr:to>
          <xdr:col>2</xdr:col>
          <xdr:colOff>596900</xdr:colOff>
          <xdr:row>24</xdr:row>
          <xdr:rowOff>215900</xdr:rowOff>
        </xdr:to>
        <xdr:sp macro="" textlink="">
          <xdr:nvSpPr>
            <xdr:cNvPr id="10350" name="Check Box 110" hidden="1">
              <a:extLst>
                <a:ext uri="{63B3BB69-23CF-44E3-9099-C40C66FF867C}">
                  <a14:compatExt spid="_x0000_s10350"/>
                </a:ext>
                <a:ext uri="{FF2B5EF4-FFF2-40B4-BE49-F238E27FC236}">
                  <a16:creationId xmlns:a16="http://schemas.microsoft.com/office/drawing/2014/main" id="{00000000-0008-0000-0400-00006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25</xdr:row>
          <xdr:rowOff>25400</xdr:rowOff>
        </xdr:from>
        <xdr:to>
          <xdr:col>2</xdr:col>
          <xdr:colOff>596900</xdr:colOff>
          <xdr:row>25</xdr:row>
          <xdr:rowOff>215900</xdr:rowOff>
        </xdr:to>
        <xdr:sp macro="" textlink="">
          <xdr:nvSpPr>
            <xdr:cNvPr id="10351" name="Check Box 111" hidden="1">
              <a:extLst>
                <a:ext uri="{63B3BB69-23CF-44E3-9099-C40C66FF867C}">
                  <a14:compatExt spid="_x0000_s10351"/>
                </a:ext>
                <a:ext uri="{FF2B5EF4-FFF2-40B4-BE49-F238E27FC236}">
                  <a16:creationId xmlns:a16="http://schemas.microsoft.com/office/drawing/2014/main" id="{00000000-0008-0000-0400-00006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27</xdr:row>
          <xdr:rowOff>25400</xdr:rowOff>
        </xdr:from>
        <xdr:to>
          <xdr:col>2</xdr:col>
          <xdr:colOff>596900</xdr:colOff>
          <xdr:row>27</xdr:row>
          <xdr:rowOff>215900</xdr:rowOff>
        </xdr:to>
        <xdr:sp macro="" textlink="">
          <xdr:nvSpPr>
            <xdr:cNvPr id="10352" name="Check Box 112" hidden="1">
              <a:extLst>
                <a:ext uri="{63B3BB69-23CF-44E3-9099-C40C66FF867C}">
                  <a14:compatExt spid="_x0000_s10352"/>
                </a:ext>
                <a:ext uri="{FF2B5EF4-FFF2-40B4-BE49-F238E27FC236}">
                  <a16:creationId xmlns:a16="http://schemas.microsoft.com/office/drawing/2014/main" id="{00000000-0008-0000-0400-00007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28</xdr:row>
          <xdr:rowOff>25400</xdr:rowOff>
        </xdr:from>
        <xdr:to>
          <xdr:col>2</xdr:col>
          <xdr:colOff>596900</xdr:colOff>
          <xdr:row>28</xdr:row>
          <xdr:rowOff>215900</xdr:rowOff>
        </xdr:to>
        <xdr:sp macro="" textlink="">
          <xdr:nvSpPr>
            <xdr:cNvPr id="10353" name="Check Box 113" hidden="1">
              <a:extLst>
                <a:ext uri="{63B3BB69-23CF-44E3-9099-C40C66FF867C}">
                  <a14:compatExt spid="_x0000_s10353"/>
                </a:ext>
                <a:ext uri="{FF2B5EF4-FFF2-40B4-BE49-F238E27FC236}">
                  <a16:creationId xmlns:a16="http://schemas.microsoft.com/office/drawing/2014/main" id="{00000000-0008-0000-0400-00007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29</xdr:row>
          <xdr:rowOff>25400</xdr:rowOff>
        </xdr:from>
        <xdr:to>
          <xdr:col>2</xdr:col>
          <xdr:colOff>596900</xdr:colOff>
          <xdr:row>29</xdr:row>
          <xdr:rowOff>215900</xdr:rowOff>
        </xdr:to>
        <xdr:sp macro="" textlink="">
          <xdr:nvSpPr>
            <xdr:cNvPr id="10354" name="Check Box 114" hidden="1">
              <a:extLst>
                <a:ext uri="{63B3BB69-23CF-44E3-9099-C40C66FF867C}">
                  <a14:compatExt spid="_x0000_s10354"/>
                </a:ext>
                <a:ext uri="{FF2B5EF4-FFF2-40B4-BE49-F238E27FC236}">
                  <a16:creationId xmlns:a16="http://schemas.microsoft.com/office/drawing/2014/main" id="{00000000-0008-0000-0400-00007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30</xdr:row>
          <xdr:rowOff>25400</xdr:rowOff>
        </xdr:from>
        <xdr:to>
          <xdr:col>2</xdr:col>
          <xdr:colOff>596900</xdr:colOff>
          <xdr:row>30</xdr:row>
          <xdr:rowOff>215900</xdr:rowOff>
        </xdr:to>
        <xdr:sp macro="" textlink="">
          <xdr:nvSpPr>
            <xdr:cNvPr id="10355" name="Check Box 115" hidden="1">
              <a:extLst>
                <a:ext uri="{63B3BB69-23CF-44E3-9099-C40C66FF867C}">
                  <a14:compatExt spid="_x0000_s10355"/>
                </a:ext>
                <a:ext uri="{FF2B5EF4-FFF2-40B4-BE49-F238E27FC236}">
                  <a16:creationId xmlns:a16="http://schemas.microsoft.com/office/drawing/2014/main" id="{00000000-0008-0000-0400-00007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31</xdr:row>
          <xdr:rowOff>25400</xdr:rowOff>
        </xdr:from>
        <xdr:to>
          <xdr:col>2</xdr:col>
          <xdr:colOff>596900</xdr:colOff>
          <xdr:row>31</xdr:row>
          <xdr:rowOff>215900</xdr:rowOff>
        </xdr:to>
        <xdr:sp macro="" textlink="">
          <xdr:nvSpPr>
            <xdr:cNvPr id="10356" name="Check Box 116" hidden="1">
              <a:extLst>
                <a:ext uri="{63B3BB69-23CF-44E3-9099-C40C66FF867C}">
                  <a14:compatExt spid="_x0000_s10356"/>
                </a:ext>
                <a:ext uri="{FF2B5EF4-FFF2-40B4-BE49-F238E27FC236}">
                  <a16:creationId xmlns:a16="http://schemas.microsoft.com/office/drawing/2014/main" id="{00000000-0008-0000-0400-00007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32</xdr:row>
          <xdr:rowOff>25400</xdr:rowOff>
        </xdr:from>
        <xdr:to>
          <xdr:col>2</xdr:col>
          <xdr:colOff>596900</xdr:colOff>
          <xdr:row>32</xdr:row>
          <xdr:rowOff>215900</xdr:rowOff>
        </xdr:to>
        <xdr:sp macro="" textlink="">
          <xdr:nvSpPr>
            <xdr:cNvPr id="10357" name="Check Box 117" hidden="1">
              <a:extLst>
                <a:ext uri="{63B3BB69-23CF-44E3-9099-C40C66FF867C}">
                  <a14:compatExt spid="_x0000_s10357"/>
                </a:ext>
                <a:ext uri="{FF2B5EF4-FFF2-40B4-BE49-F238E27FC236}">
                  <a16:creationId xmlns:a16="http://schemas.microsoft.com/office/drawing/2014/main" id="{00000000-0008-0000-0400-00007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33</xdr:row>
          <xdr:rowOff>25400</xdr:rowOff>
        </xdr:from>
        <xdr:to>
          <xdr:col>2</xdr:col>
          <xdr:colOff>596900</xdr:colOff>
          <xdr:row>33</xdr:row>
          <xdr:rowOff>215900</xdr:rowOff>
        </xdr:to>
        <xdr:sp macro="" textlink="">
          <xdr:nvSpPr>
            <xdr:cNvPr id="10358" name="Check Box 118" hidden="1">
              <a:extLst>
                <a:ext uri="{63B3BB69-23CF-44E3-9099-C40C66FF867C}">
                  <a14:compatExt spid="_x0000_s10358"/>
                </a:ext>
                <a:ext uri="{FF2B5EF4-FFF2-40B4-BE49-F238E27FC236}">
                  <a16:creationId xmlns:a16="http://schemas.microsoft.com/office/drawing/2014/main" id="{00000000-0008-0000-0400-00007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34</xdr:row>
          <xdr:rowOff>25400</xdr:rowOff>
        </xdr:from>
        <xdr:to>
          <xdr:col>2</xdr:col>
          <xdr:colOff>596900</xdr:colOff>
          <xdr:row>34</xdr:row>
          <xdr:rowOff>215900</xdr:rowOff>
        </xdr:to>
        <xdr:sp macro="" textlink="">
          <xdr:nvSpPr>
            <xdr:cNvPr id="10359" name="Check Box 119" hidden="1">
              <a:extLst>
                <a:ext uri="{63B3BB69-23CF-44E3-9099-C40C66FF867C}">
                  <a14:compatExt spid="_x0000_s10359"/>
                </a:ext>
                <a:ext uri="{FF2B5EF4-FFF2-40B4-BE49-F238E27FC236}">
                  <a16:creationId xmlns:a16="http://schemas.microsoft.com/office/drawing/2014/main" id="{00000000-0008-0000-0400-00007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35</xdr:row>
          <xdr:rowOff>25400</xdr:rowOff>
        </xdr:from>
        <xdr:to>
          <xdr:col>2</xdr:col>
          <xdr:colOff>596900</xdr:colOff>
          <xdr:row>35</xdr:row>
          <xdr:rowOff>215900</xdr:rowOff>
        </xdr:to>
        <xdr:sp macro="" textlink="">
          <xdr:nvSpPr>
            <xdr:cNvPr id="10360" name="Check Box 120" hidden="1">
              <a:extLst>
                <a:ext uri="{63B3BB69-23CF-44E3-9099-C40C66FF867C}">
                  <a14:compatExt spid="_x0000_s10360"/>
                </a:ext>
                <a:ext uri="{FF2B5EF4-FFF2-40B4-BE49-F238E27FC236}">
                  <a16:creationId xmlns:a16="http://schemas.microsoft.com/office/drawing/2014/main" id="{00000000-0008-0000-0400-00007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36</xdr:row>
          <xdr:rowOff>25400</xdr:rowOff>
        </xdr:from>
        <xdr:to>
          <xdr:col>2</xdr:col>
          <xdr:colOff>596900</xdr:colOff>
          <xdr:row>36</xdr:row>
          <xdr:rowOff>215900</xdr:rowOff>
        </xdr:to>
        <xdr:sp macro="" textlink="">
          <xdr:nvSpPr>
            <xdr:cNvPr id="10361" name="Check Box 121" hidden="1">
              <a:extLst>
                <a:ext uri="{63B3BB69-23CF-44E3-9099-C40C66FF867C}">
                  <a14:compatExt spid="_x0000_s10361"/>
                </a:ext>
                <a:ext uri="{FF2B5EF4-FFF2-40B4-BE49-F238E27FC236}">
                  <a16:creationId xmlns:a16="http://schemas.microsoft.com/office/drawing/2014/main" id="{00000000-0008-0000-0400-00007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37</xdr:row>
          <xdr:rowOff>25400</xdr:rowOff>
        </xdr:from>
        <xdr:to>
          <xdr:col>2</xdr:col>
          <xdr:colOff>596900</xdr:colOff>
          <xdr:row>37</xdr:row>
          <xdr:rowOff>215900</xdr:rowOff>
        </xdr:to>
        <xdr:sp macro="" textlink="">
          <xdr:nvSpPr>
            <xdr:cNvPr id="10362" name="Check Box 122" hidden="1">
              <a:extLst>
                <a:ext uri="{63B3BB69-23CF-44E3-9099-C40C66FF867C}">
                  <a14:compatExt spid="_x0000_s10362"/>
                </a:ext>
                <a:ext uri="{FF2B5EF4-FFF2-40B4-BE49-F238E27FC236}">
                  <a16:creationId xmlns:a16="http://schemas.microsoft.com/office/drawing/2014/main" id="{00000000-0008-0000-0400-00007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38</xdr:row>
          <xdr:rowOff>25400</xdr:rowOff>
        </xdr:from>
        <xdr:to>
          <xdr:col>2</xdr:col>
          <xdr:colOff>596900</xdr:colOff>
          <xdr:row>38</xdr:row>
          <xdr:rowOff>215900</xdr:rowOff>
        </xdr:to>
        <xdr:sp macro="" textlink="">
          <xdr:nvSpPr>
            <xdr:cNvPr id="10363" name="Check Box 123" hidden="1">
              <a:extLst>
                <a:ext uri="{63B3BB69-23CF-44E3-9099-C40C66FF867C}">
                  <a14:compatExt spid="_x0000_s10363"/>
                </a:ext>
                <a:ext uri="{FF2B5EF4-FFF2-40B4-BE49-F238E27FC236}">
                  <a16:creationId xmlns:a16="http://schemas.microsoft.com/office/drawing/2014/main" id="{00000000-0008-0000-0400-00007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39</xdr:row>
          <xdr:rowOff>25400</xdr:rowOff>
        </xdr:from>
        <xdr:to>
          <xdr:col>2</xdr:col>
          <xdr:colOff>596900</xdr:colOff>
          <xdr:row>39</xdr:row>
          <xdr:rowOff>215900</xdr:rowOff>
        </xdr:to>
        <xdr:sp macro="" textlink="">
          <xdr:nvSpPr>
            <xdr:cNvPr id="10364" name="Check Box 124" hidden="1">
              <a:extLst>
                <a:ext uri="{63B3BB69-23CF-44E3-9099-C40C66FF867C}">
                  <a14:compatExt spid="_x0000_s10364"/>
                </a:ext>
                <a:ext uri="{FF2B5EF4-FFF2-40B4-BE49-F238E27FC236}">
                  <a16:creationId xmlns:a16="http://schemas.microsoft.com/office/drawing/2014/main" id="{00000000-0008-0000-0400-00007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40</xdr:row>
          <xdr:rowOff>25400</xdr:rowOff>
        </xdr:from>
        <xdr:to>
          <xdr:col>2</xdr:col>
          <xdr:colOff>596900</xdr:colOff>
          <xdr:row>40</xdr:row>
          <xdr:rowOff>215900</xdr:rowOff>
        </xdr:to>
        <xdr:sp macro="" textlink="">
          <xdr:nvSpPr>
            <xdr:cNvPr id="10365" name="Check Box 125" hidden="1">
              <a:extLst>
                <a:ext uri="{63B3BB69-23CF-44E3-9099-C40C66FF867C}">
                  <a14:compatExt spid="_x0000_s10365"/>
                </a:ext>
                <a:ext uri="{FF2B5EF4-FFF2-40B4-BE49-F238E27FC236}">
                  <a16:creationId xmlns:a16="http://schemas.microsoft.com/office/drawing/2014/main" id="{00000000-0008-0000-0400-00007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41</xdr:row>
          <xdr:rowOff>25400</xdr:rowOff>
        </xdr:from>
        <xdr:to>
          <xdr:col>2</xdr:col>
          <xdr:colOff>596900</xdr:colOff>
          <xdr:row>41</xdr:row>
          <xdr:rowOff>215900</xdr:rowOff>
        </xdr:to>
        <xdr:sp macro="" textlink="">
          <xdr:nvSpPr>
            <xdr:cNvPr id="10366" name="Check Box 126" hidden="1">
              <a:extLst>
                <a:ext uri="{63B3BB69-23CF-44E3-9099-C40C66FF867C}">
                  <a14:compatExt spid="_x0000_s10366"/>
                </a:ext>
                <a:ext uri="{FF2B5EF4-FFF2-40B4-BE49-F238E27FC236}">
                  <a16:creationId xmlns:a16="http://schemas.microsoft.com/office/drawing/2014/main" id="{00000000-0008-0000-0400-00007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42</xdr:row>
          <xdr:rowOff>25400</xdr:rowOff>
        </xdr:from>
        <xdr:to>
          <xdr:col>2</xdr:col>
          <xdr:colOff>596900</xdr:colOff>
          <xdr:row>42</xdr:row>
          <xdr:rowOff>215900</xdr:rowOff>
        </xdr:to>
        <xdr:sp macro="" textlink="">
          <xdr:nvSpPr>
            <xdr:cNvPr id="10367" name="Check Box 127" hidden="1">
              <a:extLst>
                <a:ext uri="{63B3BB69-23CF-44E3-9099-C40C66FF867C}">
                  <a14:compatExt spid="_x0000_s10367"/>
                </a:ext>
                <a:ext uri="{FF2B5EF4-FFF2-40B4-BE49-F238E27FC236}">
                  <a16:creationId xmlns:a16="http://schemas.microsoft.com/office/drawing/2014/main" id="{00000000-0008-0000-0400-00007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43</xdr:row>
          <xdr:rowOff>25400</xdr:rowOff>
        </xdr:from>
        <xdr:to>
          <xdr:col>2</xdr:col>
          <xdr:colOff>596900</xdr:colOff>
          <xdr:row>43</xdr:row>
          <xdr:rowOff>215900</xdr:rowOff>
        </xdr:to>
        <xdr:sp macro="" textlink="">
          <xdr:nvSpPr>
            <xdr:cNvPr id="10368" name="Check Box 128" hidden="1">
              <a:extLst>
                <a:ext uri="{63B3BB69-23CF-44E3-9099-C40C66FF867C}">
                  <a14:compatExt spid="_x0000_s10368"/>
                </a:ext>
                <a:ext uri="{FF2B5EF4-FFF2-40B4-BE49-F238E27FC236}">
                  <a16:creationId xmlns:a16="http://schemas.microsoft.com/office/drawing/2014/main" id="{00000000-0008-0000-0400-00008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44</xdr:row>
          <xdr:rowOff>25400</xdr:rowOff>
        </xdr:from>
        <xdr:to>
          <xdr:col>2</xdr:col>
          <xdr:colOff>596900</xdr:colOff>
          <xdr:row>44</xdr:row>
          <xdr:rowOff>215900</xdr:rowOff>
        </xdr:to>
        <xdr:sp macro="" textlink="">
          <xdr:nvSpPr>
            <xdr:cNvPr id="10369" name="Check Box 129" hidden="1">
              <a:extLst>
                <a:ext uri="{63B3BB69-23CF-44E3-9099-C40C66FF867C}">
                  <a14:compatExt spid="_x0000_s10369"/>
                </a:ext>
                <a:ext uri="{FF2B5EF4-FFF2-40B4-BE49-F238E27FC236}">
                  <a16:creationId xmlns:a16="http://schemas.microsoft.com/office/drawing/2014/main" id="{00000000-0008-0000-0400-00008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45</xdr:row>
          <xdr:rowOff>25400</xdr:rowOff>
        </xdr:from>
        <xdr:to>
          <xdr:col>2</xdr:col>
          <xdr:colOff>596900</xdr:colOff>
          <xdr:row>45</xdr:row>
          <xdr:rowOff>215900</xdr:rowOff>
        </xdr:to>
        <xdr:sp macro="" textlink="">
          <xdr:nvSpPr>
            <xdr:cNvPr id="10370" name="Check Box 130" hidden="1">
              <a:extLst>
                <a:ext uri="{63B3BB69-23CF-44E3-9099-C40C66FF867C}">
                  <a14:compatExt spid="_x0000_s10370"/>
                </a:ext>
                <a:ext uri="{FF2B5EF4-FFF2-40B4-BE49-F238E27FC236}">
                  <a16:creationId xmlns:a16="http://schemas.microsoft.com/office/drawing/2014/main" id="{00000000-0008-0000-0400-00008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46</xdr:row>
          <xdr:rowOff>25400</xdr:rowOff>
        </xdr:from>
        <xdr:to>
          <xdr:col>2</xdr:col>
          <xdr:colOff>596900</xdr:colOff>
          <xdr:row>46</xdr:row>
          <xdr:rowOff>215900</xdr:rowOff>
        </xdr:to>
        <xdr:sp macro="" textlink="">
          <xdr:nvSpPr>
            <xdr:cNvPr id="10371" name="Check Box 131" hidden="1">
              <a:extLst>
                <a:ext uri="{63B3BB69-23CF-44E3-9099-C40C66FF867C}">
                  <a14:compatExt spid="_x0000_s10371"/>
                </a:ext>
                <a:ext uri="{FF2B5EF4-FFF2-40B4-BE49-F238E27FC236}">
                  <a16:creationId xmlns:a16="http://schemas.microsoft.com/office/drawing/2014/main" id="{00000000-0008-0000-0400-00008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47</xdr:row>
          <xdr:rowOff>25400</xdr:rowOff>
        </xdr:from>
        <xdr:to>
          <xdr:col>2</xdr:col>
          <xdr:colOff>596900</xdr:colOff>
          <xdr:row>47</xdr:row>
          <xdr:rowOff>215900</xdr:rowOff>
        </xdr:to>
        <xdr:sp macro="" textlink="">
          <xdr:nvSpPr>
            <xdr:cNvPr id="10372" name="Check Box 132" hidden="1">
              <a:extLst>
                <a:ext uri="{63B3BB69-23CF-44E3-9099-C40C66FF867C}">
                  <a14:compatExt spid="_x0000_s10372"/>
                </a:ext>
                <a:ext uri="{FF2B5EF4-FFF2-40B4-BE49-F238E27FC236}">
                  <a16:creationId xmlns:a16="http://schemas.microsoft.com/office/drawing/2014/main" id="{00000000-0008-0000-0400-00008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48</xdr:row>
          <xdr:rowOff>25400</xdr:rowOff>
        </xdr:from>
        <xdr:to>
          <xdr:col>2</xdr:col>
          <xdr:colOff>596900</xdr:colOff>
          <xdr:row>48</xdr:row>
          <xdr:rowOff>215900</xdr:rowOff>
        </xdr:to>
        <xdr:sp macro="" textlink="">
          <xdr:nvSpPr>
            <xdr:cNvPr id="10373" name="Check Box 133" hidden="1">
              <a:extLst>
                <a:ext uri="{63B3BB69-23CF-44E3-9099-C40C66FF867C}">
                  <a14:compatExt spid="_x0000_s10373"/>
                </a:ext>
                <a:ext uri="{FF2B5EF4-FFF2-40B4-BE49-F238E27FC236}">
                  <a16:creationId xmlns:a16="http://schemas.microsoft.com/office/drawing/2014/main" id="{00000000-0008-0000-0400-00008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49</xdr:row>
          <xdr:rowOff>25400</xdr:rowOff>
        </xdr:from>
        <xdr:to>
          <xdr:col>2</xdr:col>
          <xdr:colOff>596900</xdr:colOff>
          <xdr:row>49</xdr:row>
          <xdr:rowOff>215900</xdr:rowOff>
        </xdr:to>
        <xdr:sp macro="" textlink="">
          <xdr:nvSpPr>
            <xdr:cNvPr id="10374" name="Check Box 134" hidden="1">
              <a:extLst>
                <a:ext uri="{63B3BB69-23CF-44E3-9099-C40C66FF867C}">
                  <a14:compatExt spid="_x0000_s10374"/>
                </a:ext>
                <a:ext uri="{FF2B5EF4-FFF2-40B4-BE49-F238E27FC236}">
                  <a16:creationId xmlns:a16="http://schemas.microsoft.com/office/drawing/2014/main" id="{00000000-0008-0000-0400-00008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50</xdr:row>
          <xdr:rowOff>25400</xdr:rowOff>
        </xdr:from>
        <xdr:to>
          <xdr:col>2</xdr:col>
          <xdr:colOff>596900</xdr:colOff>
          <xdr:row>50</xdr:row>
          <xdr:rowOff>215900</xdr:rowOff>
        </xdr:to>
        <xdr:sp macro="" textlink="">
          <xdr:nvSpPr>
            <xdr:cNvPr id="10375" name="Check Box 135" hidden="1">
              <a:extLst>
                <a:ext uri="{63B3BB69-23CF-44E3-9099-C40C66FF867C}">
                  <a14:compatExt spid="_x0000_s10375"/>
                </a:ext>
                <a:ext uri="{FF2B5EF4-FFF2-40B4-BE49-F238E27FC236}">
                  <a16:creationId xmlns:a16="http://schemas.microsoft.com/office/drawing/2014/main" id="{00000000-0008-0000-0400-00008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51</xdr:row>
          <xdr:rowOff>25400</xdr:rowOff>
        </xdr:from>
        <xdr:to>
          <xdr:col>2</xdr:col>
          <xdr:colOff>596900</xdr:colOff>
          <xdr:row>51</xdr:row>
          <xdr:rowOff>215900</xdr:rowOff>
        </xdr:to>
        <xdr:sp macro="" textlink="">
          <xdr:nvSpPr>
            <xdr:cNvPr id="10376" name="Check Box 136" hidden="1">
              <a:extLst>
                <a:ext uri="{63B3BB69-23CF-44E3-9099-C40C66FF867C}">
                  <a14:compatExt spid="_x0000_s10376"/>
                </a:ext>
                <a:ext uri="{FF2B5EF4-FFF2-40B4-BE49-F238E27FC236}">
                  <a16:creationId xmlns:a16="http://schemas.microsoft.com/office/drawing/2014/main" id="{00000000-0008-0000-0400-00008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52</xdr:row>
          <xdr:rowOff>25400</xdr:rowOff>
        </xdr:from>
        <xdr:to>
          <xdr:col>2</xdr:col>
          <xdr:colOff>596900</xdr:colOff>
          <xdr:row>52</xdr:row>
          <xdr:rowOff>215900</xdr:rowOff>
        </xdr:to>
        <xdr:sp macro="" textlink="">
          <xdr:nvSpPr>
            <xdr:cNvPr id="10377" name="Check Box 137" hidden="1">
              <a:extLst>
                <a:ext uri="{63B3BB69-23CF-44E3-9099-C40C66FF867C}">
                  <a14:compatExt spid="_x0000_s10377"/>
                </a:ext>
                <a:ext uri="{FF2B5EF4-FFF2-40B4-BE49-F238E27FC236}">
                  <a16:creationId xmlns:a16="http://schemas.microsoft.com/office/drawing/2014/main" id="{00000000-0008-0000-0400-00008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53</xdr:row>
          <xdr:rowOff>25400</xdr:rowOff>
        </xdr:from>
        <xdr:to>
          <xdr:col>2</xdr:col>
          <xdr:colOff>596900</xdr:colOff>
          <xdr:row>53</xdr:row>
          <xdr:rowOff>215900</xdr:rowOff>
        </xdr:to>
        <xdr:sp macro="" textlink="">
          <xdr:nvSpPr>
            <xdr:cNvPr id="10378" name="Check Box 138" hidden="1">
              <a:extLst>
                <a:ext uri="{63B3BB69-23CF-44E3-9099-C40C66FF867C}">
                  <a14:compatExt spid="_x0000_s10378"/>
                </a:ext>
                <a:ext uri="{FF2B5EF4-FFF2-40B4-BE49-F238E27FC236}">
                  <a16:creationId xmlns:a16="http://schemas.microsoft.com/office/drawing/2014/main" id="{00000000-0008-0000-0400-00008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54</xdr:row>
          <xdr:rowOff>25400</xdr:rowOff>
        </xdr:from>
        <xdr:to>
          <xdr:col>2</xdr:col>
          <xdr:colOff>596900</xdr:colOff>
          <xdr:row>54</xdr:row>
          <xdr:rowOff>215900</xdr:rowOff>
        </xdr:to>
        <xdr:sp macro="" textlink="">
          <xdr:nvSpPr>
            <xdr:cNvPr id="10379" name="Check Box 139" hidden="1">
              <a:extLst>
                <a:ext uri="{63B3BB69-23CF-44E3-9099-C40C66FF867C}">
                  <a14:compatExt spid="_x0000_s10379"/>
                </a:ext>
                <a:ext uri="{FF2B5EF4-FFF2-40B4-BE49-F238E27FC236}">
                  <a16:creationId xmlns:a16="http://schemas.microsoft.com/office/drawing/2014/main" id="{00000000-0008-0000-0400-00008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55</xdr:row>
          <xdr:rowOff>25400</xdr:rowOff>
        </xdr:from>
        <xdr:to>
          <xdr:col>2</xdr:col>
          <xdr:colOff>596900</xdr:colOff>
          <xdr:row>55</xdr:row>
          <xdr:rowOff>215900</xdr:rowOff>
        </xdr:to>
        <xdr:sp macro="" textlink="">
          <xdr:nvSpPr>
            <xdr:cNvPr id="10380" name="Check Box 140" hidden="1">
              <a:extLst>
                <a:ext uri="{63B3BB69-23CF-44E3-9099-C40C66FF867C}">
                  <a14:compatExt spid="_x0000_s10380"/>
                </a:ext>
                <a:ext uri="{FF2B5EF4-FFF2-40B4-BE49-F238E27FC236}">
                  <a16:creationId xmlns:a16="http://schemas.microsoft.com/office/drawing/2014/main" id="{00000000-0008-0000-0400-00008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56</xdr:row>
          <xdr:rowOff>25400</xdr:rowOff>
        </xdr:from>
        <xdr:to>
          <xdr:col>2</xdr:col>
          <xdr:colOff>596900</xdr:colOff>
          <xdr:row>56</xdr:row>
          <xdr:rowOff>215900</xdr:rowOff>
        </xdr:to>
        <xdr:sp macro="" textlink="">
          <xdr:nvSpPr>
            <xdr:cNvPr id="10381" name="Check Box 141" hidden="1">
              <a:extLst>
                <a:ext uri="{63B3BB69-23CF-44E3-9099-C40C66FF867C}">
                  <a14:compatExt spid="_x0000_s10381"/>
                </a:ext>
                <a:ext uri="{FF2B5EF4-FFF2-40B4-BE49-F238E27FC236}">
                  <a16:creationId xmlns:a16="http://schemas.microsoft.com/office/drawing/2014/main" id="{00000000-0008-0000-0400-00008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57</xdr:row>
          <xdr:rowOff>25400</xdr:rowOff>
        </xdr:from>
        <xdr:to>
          <xdr:col>2</xdr:col>
          <xdr:colOff>596900</xdr:colOff>
          <xdr:row>57</xdr:row>
          <xdr:rowOff>215900</xdr:rowOff>
        </xdr:to>
        <xdr:sp macro="" textlink="">
          <xdr:nvSpPr>
            <xdr:cNvPr id="10382" name="Check Box 142" hidden="1">
              <a:extLst>
                <a:ext uri="{63B3BB69-23CF-44E3-9099-C40C66FF867C}">
                  <a14:compatExt spid="_x0000_s10382"/>
                </a:ext>
                <a:ext uri="{FF2B5EF4-FFF2-40B4-BE49-F238E27FC236}">
                  <a16:creationId xmlns:a16="http://schemas.microsoft.com/office/drawing/2014/main" id="{00000000-0008-0000-0400-00008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58</xdr:row>
          <xdr:rowOff>25400</xdr:rowOff>
        </xdr:from>
        <xdr:to>
          <xdr:col>2</xdr:col>
          <xdr:colOff>596900</xdr:colOff>
          <xdr:row>58</xdr:row>
          <xdr:rowOff>215900</xdr:rowOff>
        </xdr:to>
        <xdr:sp macro="" textlink="">
          <xdr:nvSpPr>
            <xdr:cNvPr id="10383" name="Check Box 143" hidden="1">
              <a:extLst>
                <a:ext uri="{63B3BB69-23CF-44E3-9099-C40C66FF867C}">
                  <a14:compatExt spid="_x0000_s10383"/>
                </a:ext>
                <a:ext uri="{FF2B5EF4-FFF2-40B4-BE49-F238E27FC236}">
                  <a16:creationId xmlns:a16="http://schemas.microsoft.com/office/drawing/2014/main" id="{00000000-0008-0000-0400-00008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59</xdr:row>
          <xdr:rowOff>25400</xdr:rowOff>
        </xdr:from>
        <xdr:to>
          <xdr:col>2</xdr:col>
          <xdr:colOff>596900</xdr:colOff>
          <xdr:row>59</xdr:row>
          <xdr:rowOff>215900</xdr:rowOff>
        </xdr:to>
        <xdr:sp macro="" textlink="">
          <xdr:nvSpPr>
            <xdr:cNvPr id="10384" name="Check Box 144" hidden="1">
              <a:extLst>
                <a:ext uri="{63B3BB69-23CF-44E3-9099-C40C66FF867C}">
                  <a14:compatExt spid="_x0000_s10384"/>
                </a:ext>
                <a:ext uri="{FF2B5EF4-FFF2-40B4-BE49-F238E27FC236}">
                  <a16:creationId xmlns:a16="http://schemas.microsoft.com/office/drawing/2014/main" id="{00000000-0008-0000-0400-00009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60</xdr:row>
          <xdr:rowOff>25400</xdr:rowOff>
        </xdr:from>
        <xdr:to>
          <xdr:col>2</xdr:col>
          <xdr:colOff>596900</xdr:colOff>
          <xdr:row>60</xdr:row>
          <xdr:rowOff>215900</xdr:rowOff>
        </xdr:to>
        <xdr:sp macro="" textlink="">
          <xdr:nvSpPr>
            <xdr:cNvPr id="10385" name="Check Box 145" hidden="1">
              <a:extLst>
                <a:ext uri="{63B3BB69-23CF-44E3-9099-C40C66FF867C}">
                  <a14:compatExt spid="_x0000_s10385"/>
                </a:ext>
                <a:ext uri="{FF2B5EF4-FFF2-40B4-BE49-F238E27FC236}">
                  <a16:creationId xmlns:a16="http://schemas.microsoft.com/office/drawing/2014/main" id="{00000000-0008-0000-0400-00009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61</xdr:row>
          <xdr:rowOff>25400</xdr:rowOff>
        </xdr:from>
        <xdr:to>
          <xdr:col>2</xdr:col>
          <xdr:colOff>596900</xdr:colOff>
          <xdr:row>61</xdr:row>
          <xdr:rowOff>215900</xdr:rowOff>
        </xdr:to>
        <xdr:sp macro="" textlink="">
          <xdr:nvSpPr>
            <xdr:cNvPr id="10386" name="Check Box 146" hidden="1">
              <a:extLst>
                <a:ext uri="{63B3BB69-23CF-44E3-9099-C40C66FF867C}">
                  <a14:compatExt spid="_x0000_s10386"/>
                </a:ext>
                <a:ext uri="{FF2B5EF4-FFF2-40B4-BE49-F238E27FC236}">
                  <a16:creationId xmlns:a16="http://schemas.microsoft.com/office/drawing/2014/main" id="{00000000-0008-0000-0400-00009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62</xdr:row>
          <xdr:rowOff>25400</xdr:rowOff>
        </xdr:from>
        <xdr:to>
          <xdr:col>2</xdr:col>
          <xdr:colOff>596900</xdr:colOff>
          <xdr:row>62</xdr:row>
          <xdr:rowOff>215900</xdr:rowOff>
        </xdr:to>
        <xdr:sp macro="" textlink="">
          <xdr:nvSpPr>
            <xdr:cNvPr id="10387" name="Check Box 147" hidden="1">
              <a:extLst>
                <a:ext uri="{63B3BB69-23CF-44E3-9099-C40C66FF867C}">
                  <a14:compatExt spid="_x0000_s10387"/>
                </a:ext>
                <a:ext uri="{FF2B5EF4-FFF2-40B4-BE49-F238E27FC236}">
                  <a16:creationId xmlns:a16="http://schemas.microsoft.com/office/drawing/2014/main" id="{00000000-0008-0000-0400-00009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63</xdr:row>
          <xdr:rowOff>25400</xdr:rowOff>
        </xdr:from>
        <xdr:to>
          <xdr:col>2</xdr:col>
          <xdr:colOff>596900</xdr:colOff>
          <xdr:row>63</xdr:row>
          <xdr:rowOff>215900</xdr:rowOff>
        </xdr:to>
        <xdr:sp macro="" textlink="">
          <xdr:nvSpPr>
            <xdr:cNvPr id="10388" name="Check Box 148" hidden="1">
              <a:extLst>
                <a:ext uri="{63B3BB69-23CF-44E3-9099-C40C66FF867C}">
                  <a14:compatExt spid="_x0000_s10388"/>
                </a:ext>
                <a:ext uri="{FF2B5EF4-FFF2-40B4-BE49-F238E27FC236}">
                  <a16:creationId xmlns:a16="http://schemas.microsoft.com/office/drawing/2014/main" id="{00000000-0008-0000-0400-00009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64</xdr:row>
          <xdr:rowOff>25400</xdr:rowOff>
        </xdr:from>
        <xdr:to>
          <xdr:col>2</xdr:col>
          <xdr:colOff>596900</xdr:colOff>
          <xdr:row>64</xdr:row>
          <xdr:rowOff>215900</xdr:rowOff>
        </xdr:to>
        <xdr:sp macro="" textlink="">
          <xdr:nvSpPr>
            <xdr:cNvPr id="10389" name="Check Box 149" hidden="1">
              <a:extLst>
                <a:ext uri="{63B3BB69-23CF-44E3-9099-C40C66FF867C}">
                  <a14:compatExt spid="_x0000_s10389"/>
                </a:ext>
                <a:ext uri="{FF2B5EF4-FFF2-40B4-BE49-F238E27FC236}">
                  <a16:creationId xmlns:a16="http://schemas.microsoft.com/office/drawing/2014/main" id="{00000000-0008-0000-0400-00009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65</xdr:row>
          <xdr:rowOff>25400</xdr:rowOff>
        </xdr:from>
        <xdr:to>
          <xdr:col>2</xdr:col>
          <xdr:colOff>596900</xdr:colOff>
          <xdr:row>65</xdr:row>
          <xdr:rowOff>215900</xdr:rowOff>
        </xdr:to>
        <xdr:sp macro="" textlink="">
          <xdr:nvSpPr>
            <xdr:cNvPr id="10390" name="Check Box 150" hidden="1">
              <a:extLst>
                <a:ext uri="{63B3BB69-23CF-44E3-9099-C40C66FF867C}">
                  <a14:compatExt spid="_x0000_s10390"/>
                </a:ext>
                <a:ext uri="{FF2B5EF4-FFF2-40B4-BE49-F238E27FC236}">
                  <a16:creationId xmlns:a16="http://schemas.microsoft.com/office/drawing/2014/main" id="{00000000-0008-0000-0400-00009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66</xdr:row>
          <xdr:rowOff>25400</xdr:rowOff>
        </xdr:from>
        <xdr:to>
          <xdr:col>2</xdr:col>
          <xdr:colOff>596900</xdr:colOff>
          <xdr:row>66</xdr:row>
          <xdr:rowOff>215900</xdr:rowOff>
        </xdr:to>
        <xdr:sp macro="" textlink="">
          <xdr:nvSpPr>
            <xdr:cNvPr id="10391" name="Check Box 151" hidden="1">
              <a:extLst>
                <a:ext uri="{63B3BB69-23CF-44E3-9099-C40C66FF867C}">
                  <a14:compatExt spid="_x0000_s10391"/>
                </a:ext>
                <a:ext uri="{FF2B5EF4-FFF2-40B4-BE49-F238E27FC236}">
                  <a16:creationId xmlns:a16="http://schemas.microsoft.com/office/drawing/2014/main" id="{00000000-0008-0000-0400-00009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67</xdr:row>
          <xdr:rowOff>25400</xdr:rowOff>
        </xdr:from>
        <xdr:to>
          <xdr:col>2</xdr:col>
          <xdr:colOff>596900</xdr:colOff>
          <xdr:row>67</xdr:row>
          <xdr:rowOff>215900</xdr:rowOff>
        </xdr:to>
        <xdr:sp macro="" textlink="">
          <xdr:nvSpPr>
            <xdr:cNvPr id="10392" name="Check Box 152" hidden="1">
              <a:extLst>
                <a:ext uri="{63B3BB69-23CF-44E3-9099-C40C66FF867C}">
                  <a14:compatExt spid="_x0000_s10392"/>
                </a:ext>
                <a:ext uri="{FF2B5EF4-FFF2-40B4-BE49-F238E27FC236}">
                  <a16:creationId xmlns:a16="http://schemas.microsoft.com/office/drawing/2014/main" id="{00000000-0008-0000-0400-00009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68</xdr:row>
          <xdr:rowOff>25400</xdr:rowOff>
        </xdr:from>
        <xdr:to>
          <xdr:col>2</xdr:col>
          <xdr:colOff>596900</xdr:colOff>
          <xdr:row>68</xdr:row>
          <xdr:rowOff>215900</xdr:rowOff>
        </xdr:to>
        <xdr:sp macro="" textlink="">
          <xdr:nvSpPr>
            <xdr:cNvPr id="10393" name="Check Box 153" hidden="1">
              <a:extLst>
                <a:ext uri="{63B3BB69-23CF-44E3-9099-C40C66FF867C}">
                  <a14:compatExt spid="_x0000_s10393"/>
                </a:ext>
                <a:ext uri="{FF2B5EF4-FFF2-40B4-BE49-F238E27FC236}">
                  <a16:creationId xmlns:a16="http://schemas.microsoft.com/office/drawing/2014/main" id="{00000000-0008-0000-0400-00009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69</xdr:row>
          <xdr:rowOff>25400</xdr:rowOff>
        </xdr:from>
        <xdr:to>
          <xdr:col>2</xdr:col>
          <xdr:colOff>596900</xdr:colOff>
          <xdr:row>69</xdr:row>
          <xdr:rowOff>215900</xdr:rowOff>
        </xdr:to>
        <xdr:sp macro="" textlink="">
          <xdr:nvSpPr>
            <xdr:cNvPr id="10394" name="Check Box 154" hidden="1">
              <a:extLst>
                <a:ext uri="{63B3BB69-23CF-44E3-9099-C40C66FF867C}">
                  <a14:compatExt spid="_x0000_s10394"/>
                </a:ext>
                <a:ext uri="{FF2B5EF4-FFF2-40B4-BE49-F238E27FC236}">
                  <a16:creationId xmlns:a16="http://schemas.microsoft.com/office/drawing/2014/main" id="{00000000-0008-0000-0400-00009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70</xdr:row>
          <xdr:rowOff>25400</xdr:rowOff>
        </xdr:from>
        <xdr:to>
          <xdr:col>2</xdr:col>
          <xdr:colOff>596900</xdr:colOff>
          <xdr:row>70</xdr:row>
          <xdr:rowOff>215900</xdr:rowOff>
        </xdr:to>
        <xdr:sp macro="" textlink="">
          <xdr:nvSpPr>
            <xdr:cNvPr id="10395" name="Check Box 155" hidden="1">
              <a:extLst>
                <a:ext uri="{63B3BB69-23CF-44E3-9099-C40C66FF867C}">
                  <a14:compatExt spid="_x0000_s10395"/>
                </a:ext>
                <a:ext uri="{FF2B5EF4-FFF2-40B4-BE49-F238E27FC236}">
                  <a16:creationId xmlns:a16="http://schemas.microsoft.com/office/drawing/2014/main" id="{00000000-0008-0000-0400-00009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71</xdr:row>
          <xdr:rowOff>25400</xdr:rowOff>
        </xdr:from>
        <xdr:to>
          <xdr:col>2</xdr:col>
          <xdr:colOff>596900</xdr:colOff>
          <xdr:row>71</xdr:row>
          <xdr:rowOff>215900</xdr:rowOff>
        </xdr:to>
        <xdr:sp macro="" textlink="">
          <xdr:nvSpPr>
            <xdr:cNvPr id="10396" name="Check Box 156" hidden="1">
              <a:extLst>
                <a:ext uri="{63B3BB69-23CF-44E3-9099-C40C66FF867C}">
                  <a14:compatExt spid="_x0000_s10396"/>
                </a:ext>
                <a:ext uri="{FF2B5EF4-FFF2-40B4-BE49-F238E27FC236}">
                  <a16:creationId xmlns:a16="http://schemas.microsoft.com/office/drawing/2014/main" id="{00000000-0008-0000-0400-00009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72</xdr:row>
          <xdr:rowOff>25400</xdr:rowOff>
        </xdr:from>
        <xdr:to>
          <xdr:col>2</xdr:col>
          <xdr:colOff>596900</xdr:colOff>
          <xdr:row>72</xdr:row>
          <xdr:rowOff>215900</xdr:rowOff>
        </xdr:to>
        <xdr:sp macro="" textlink="">
          <xdr:nvSpPr>
            <xdr:cNvPr id="10397" name="Check Box 157" hidden="1">
              <a:extLst>
                <a:ext uri="{63B3BB69-23CF-44E3-9099-C40C66FF867C}">
                  <a14:compatExt spid="_x0000_s10397"/>
                </a:ext>
                <a:ext uri="{FF2B5EF4-FFF2-40B4-BE49-F238E27FC236}">
                  <a16:creationId xmlns:a16="http://schemas.microsoft.com/office/drawing/2014/main" id="{00000000-0008-0000-0400-00009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73</xdr:row>
          <xdr:rowOff>25400</xdr:rowOff>
        </xdr:from>
        <xdr:to>
          <xdr:col>2</xdr:col>
          <xdr:colOff>596900</xdr:colOff>
          <xdr:row>73</xdr:row>
          <xdr:rowOff>215900</xdr:rowOff>
        </xdr:to>
        <xdr:sp macro="" textlink="">
          <xdr:nvSpPr>
            <xdr:cNvPr id="10398" name="Check Box 158" hidden="1">
              <a:extLst>
                <a:ext uri="{63B3BB69-23CF-44E3-9099-C40C66FF867C}">
                  <a14:compatExt spid="_x0000_s10398"/>
                </a:ext>
                <a:ext uri="{FF2B5EF4-FFF2-40B4-BE49-F238E27FC236}">
                  <a16:creationId xmlns:a16="http://schemas.microsoft.com/office/drawing/2014/main" id="{00000000-0008-0000-0400-00009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75</xdr:row>
          <xdr:rowOff>25400</xdr:rowOff>
        </xdr:from>
        <xdr:to>
          <xdr:col>2</xdr:col>
          <xdr:colOff>596900</xdr:colOff>
          <xdr:row>75</xdr:row>
          <xdr:rowOff>215900</xdr:rowOff>
        </xdr:to>
        <xdr:sp macro="" textlink="">
          <xdr:nvSpPr>
            <xdr:cNvPr id="10399" name="Check Box 159" hidden="1">
              <a:extLst>
                <a:ext uri="{63B3BB69-23CF-44E3-9099-C40C66FF867C}">
                  <a14:compatExt spid="_x0000_s10399"/>
                </a:ext>
                <a:ext uri="{FF2B5EF4-FFF2-40B4-BE49-F238E27FC236}">
                  <a16:creationId xmlns:a16="http://schemas.microsoft.com/office/drawing/2014/main" id="{00000000-0008-0000-0400-00009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77</xdr:row>
          <xdr:rowOff>203200</xdr:rowOff>
        </xdr:from>
        <xdr:to>
          <xdr:col>2</xdr:col>
          <xdr:colOff>596900</xdr:colOff>
          <xdr:row>77</xdr:row>
          <xdr:rowOff>393700</xdr:rowOff>
        </xdr:to>
        <xdr:sp macro="" textlink="">
          <xdr:nvSpPr>
            <xdr:cNvPr id="10400" name="Check Box 160" hidden="1">
              <a:extLst>
                <a:ext uri="{63B3BB69-23CF-44E3-9099-C40C66FF867C}">
                  <a14:compatExt spid="_x0000_s10400"/>
                </a:ext>
                <a:ext uri="{FF2B5EF4-FFF2-40B4-BE49-F238E27FC236}">
                  <a16:creationId xmlns:a16="http://schemas.microsoft.com/office/drawing/2014/main" id="{00000000-0008-0000-0400-0000A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78</xdr:row>
          <xdr:rowOff>25400</xdr:rowOff>
        </xdr:from>
        <xdr:to>
          <xdr:col>2</xdr:col>
          <xdr:colOff>596900</xdr:colOff>
          <xdr:row>78</xdr:row>
          <xdr:rowOff>215900</xdr:rowOff>
        </xdr:to>
        <xdr:sp macro="" textlink="">
          <xdr:nvSpPr>
            <xdr:cNvPr id="10410" name="Check Box 170" hidden="1">
              <a:extLst>
                <a:ext uri="{63B3BB69-23CF-44E3-9099-C40C66FF867C}">
                  <a14:compatExt spid="_x0000_s10410"/>
                </a:ext>
                <a:ext uri="{FF2B5EF4-FFF2-40B4-BE49-F238E27FC236}">
                  <a16:creationId xmlns:a16="http://schemas.microsoft.com/office/drawing/2014/main" id="{00000000-0008-0000-0400-0000A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79</xdr:row>
          <xdr:rowOff>25400</xdr:rowOff>
        </xdr:from>
        <xdr:to>
          <xdr:col>2</xdr:col>
          <xdr:colOff>596900</xdr:colOff>
          <xdr:row>79</xdr:row>
          <xdr:rowOff>215900</xdr:rowOff>
        </xdr:to>
        <xdr:sp macro="" textlink="">
          <xdr:nvSpPr>
            <xdr:cNvPr id="10411" name="Check Box 171" hidden="1">
              <a:extLst>
                <a:ext uri="{63B3BB69-23CF-44E3-9099-C40C66FF867C}">
                  <a14:compatExt spid="_x0000_s10411"/>
                </a:ext>
                <a:ext uri="{FF2B5EF4-FFF2-40B4-BE49-F238E27FC236}">
                  <a16:creationId xmlns:a16="http://schemas.microsoft.com/office/drawing/2014/main" id="{00000000-0008-0000-0400-0000A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80</xdr:row>
          <xdr:rowOff>25400</xdr:rowOff>
        </xdr:from>
        <xdr:to>
          <xdr:col>2</xdr:col>
          <xdr:colOff>596900</xdr:colOff>
          <xdr:row>80</xdr:row>
          <xdr:rowOff>215900</xdr:rowOff>
        </xdr:to>
        <xdr:sp macro="" textlink="">
          <xdr:nvSpPr>
            <xdr:cNvPr id="10412" name="Check Box 172" hidden="1">
              <a:extLst>
                <a:ext uri="{63B3BB69-23CF-44E3-9099-C40C66FF867C}">
                  <a14:compatExt spid="_x0000_s10412"/>
                </a:ext>
                <a:ext uri="{FF2B5EF4-FFF2-40B4-BE49-F238E27FC236}">
                  <a16:creationId xmlns:a16="http://schemas.microsoft.com/office/drawing/2014/main" id="{00000000-0008-0000-0400-0000A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81</xdr:row>
          <xdr:rowOff>25400</xdr:rowOff>
        </xdr:from>
        <xdr:to>
          <xdr:col>2</xdr:col>
          <xdr:colOff>596900</xdr:colOff>
          <xdr:row>81</xdr:row>
          <xdr:rowOff>215900</xdr:rowOff>
        </xdr:to>
        <xdr:sp macro="" textlink="">
          <xdr:nvSpPr>
            <xdr:cNvPr id="10413" name="Check Box 173" hidden="1">
              <a:extLst>
                <a:ext uri="{63B3BB69-23CF-44E3-9099-C40C66FF867C}">
                  <a14:compatExt spid="_x0000_s10413"/>
                </a:ext>
                <a:ext uri="{FF2B5EF4-FFF2-40B4-BE49-F238E27FC236}">
                  <a16:creationId xmlns:a16="http://schemas.microsoft.com/office/drawing/2014/main" id="{00000000-0008-0000-0400-0000A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82</xdr:row>
          <xdr:rowOff>25400</xdr:rowOff>
        </xdr:from>
        <xdr:to>
          <xdr:col>2</xdr:col>
          <xdr:colOff>596900</xdr:colOff>
          <xdr:row>82</xdr:row>
          <xdr:rowOff>215900</xdr:rowOff>
        </xdr:to>
        <xdr:sp macro="" textlink="">
          <xdr:nvSpPr>
            <xdr:cNvPr id="10414" name="Check Box 174" hidden="1">
              <a:extLst>
                <a:ext uri="{63B3BB69-23CF-44E3-9099-C40C66FF867C}">
                  <a14:compatExt spid="_x0000_s10414"/>
                </a:ext>
                <a:ext uri="{FF2B5EF4-FFF2-40B4-BE49-F238E27FC236}">
                  <a16:creationId xmlns:a16="http://schemas.microsoft.com/office/drawing/2014/main" id="{00000000-0008-0000-0400-0000A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83</xdr:row>
          <xdr:rowOff>25400</xdr:rowOff>
        </xdr:from>
        <xdr:to>
          <xdr:col>2</xdr:col>
          <xdr:colOff>596900</xdr:colOff>
          <xdr:row>83</xdr:row>
          <xdr:rowOff>215900</xdr:rowOff>
        </xdr:to>
        <xdr:sp macro="" textlink="">
          <xdr:nvSpPr>
            <xdr:cNvPr id="10415" name="Check Box 175" hidden="1">
              <a:extLst>
                <a:ext uri="{63B3BB69-23CF-44E3-9099-C40C66FF867C}">
                  <a14:compatExt spid="_x0000_s10415"/>
                </a:ext>
                <a:ext uri="{FF2B5EF4-FFF2-40B4-BE49-F238E27FC236}">
                  <a16:creationId xmlns:a16="http://schemas.microsoft.com/office/drawing/2014/main" id="{00000000-0008-0000-0400-0000A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84</xdr:row>
          <xdr:rowOff>25400</xdr:rowOff>
        </xdr:from>
        <xdr:to>
          <xdr:col>2</xdr:col>
          <xdr:colOff>596900</xdr:colOff>
          <xdr:row>84</xdr:row>
          <xdr:rowOff>215900</xdr:rowOff>
        </xdr:to>
        <xdr:sp macro="" textlink="">
          <xdr:nvSpPr>
            <xdr:cNvPr id="10416" name="Check Box 176" hidden="1">
              <a:extLst>
                <a:ext uri="{63B3BB69-23CF-44E3-9099-C40C66FF867C}">
                  <a14:compatExt spid="_x0000_s10416"/>
                </a:ext>
                <a:ext uri="{FF2B5EF4-FFF2-40B4-BE49-F238E27FC236}">
                  <a16:creationId xmlns:a16="http://schemas.microsoft.com/office/drawing/2014/main" id="{00000000-0008-0000-0400-0000B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85</xdr:row>
          <xdr:rowOff>25400</xdr:rowOff>
        </xdr:from>
        <xdr:to>
          <xdr:col>2</xdr:col>
          <xdr:colOff>596900</xdr:colOff>
          <xdr:row>85</xdr:row>
          <xdr:rowOff>215900</xdr:rowOff>
        </xdr:to>
        <xdr:sp macro="" textlink="">
          <xdr:nvSpPr>
            <xdr:cNvPr id="10417" name="Check Box 177" hidden="1">
              <a:extLst>
                <a:ext uri="{63B3BB69-23CF-44E3-9099-C40C66FF867C}">
                  <a14:compatExt spid="_x0000_s10417"/>
                </a:ext>
                <a:ext uri="{FF2B5EF4-FFF2-40B4-BE49-F238E27FC236}">
                  <a16:creationId xmlns:a16="http://schemas.microsoft.com/office/drawing/2014/main" id="{00000000-0008-0000-0400-0000B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86</xdr:row>
          <xdr:rowOff>25400</xdr:rowOff>
        </xdr:from>
        <xdr:to>
          <xdr:col>2</xdr:col>
          <xdr:colOff>596900</xdr:colOff>
          <xdr:row>86</xdr:row>
          <xdr:rowOff>215900</xdr:rowOff>
        </xdr:to>
        <xdr:sp macro="" textlink="">
          <xdr:nvSpPr>
            <xdr:cNvPr id="10418" name="Check Box 178" hidden="1">
              <a:extLst>
                <a:ext uri="{63B3BB69-23CF-44E3-9099-C40C66FF867C}">
                  <a14:compatExt spid="_x0000_s10418"/>
                </a:ext>
                <a:ext uri="{FF2B5EF4-FFF2-40B4-BE49-F238E27FC236}">
                  <a16:creationId xmlns:a16="http://schemas.microsoft.com/office/drawing/2014/main" id="{00000000-0008-0000-0400-0000B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135467</xdr:colOff>
      <xdr:row>5</xdr:row>
      <xdr:rowOff>338667</xdr:rowOff>
    </xdr:from>
    <xdr:to>
      <xdr:col>1</xdr:col>
      <xdr:colOff>5744059</xdr:colOff>
      <xdr:row>5</xdr:row>
      <xdr:rowOff>1794933</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236134" y="2590800"/>
          <a:ext cx="5608592" cy="1456266"/>
        </a:xfrm>
        <a:prstGeom prst="rect">
          <a:avLst/>
        </a:prstGeom>
      </xdr:spPr>
    </xdr:pic>
    <xdr:clientData/>
  </xdr:twoCellAnchor>
  <xdr:twoCellAnchor editAs="oneCell">
    <xdr:from>
      <xdr:col>1</xdr:col>
      <xdr:colOff>169334</xdr:colOff>
      <xdr:row>6</xdr:row>
      <xdr:rowOff>389466</xdr:rowOff>
    </xdr:from>
    <xdr:to>
      <xdr:col>1</xdr:col>
      <xdr:colOff>4895850</xdr:colOff>
      <xdr:row>6</xdr:row>
      <xdr:rowOff>2997199</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1270001" y="4571999"/>
          <a:ext cx="4726516" cy="2607733"/>
        </a:xfrm>
        <a:prstGeom prst="rect">
          <a:avLst/>
        </a:prstGeom>
      </xdr:spPr>
    </xdr:pic>
    <xdr:clientData/>
  </xdr:twoCellAnchor>
  <xdr:twoCellAnchor editAs="oneCell">
    <xdr:from>
      <xdr:col>1</xdr:col>
      <xdr:colOff>186266</xdr:colOff>
      <xdr:row>12</xdr:row>
      <xdr:rowOff>372534</xdr:rowOff>
    </xdr:from>
    <xdr:to>
      <xdr:col>1</xdr:col>
      <xdr:colOff>6071312</xdr:colOff>
      <xdr:row>12</xdr:row>
      <xdr:rowOff>3877734</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a:stretch>
          <a:fillRect/>
        </a:stretch>
      </xdr:blipFill>
      <xdr:spPr>
        <a:xfrm>
          <a:off x="1286933" y="11870267"/>
          <a:ext cx="5885046" cy="3505200"/>
        </a:xfrm>
        <a:prstGeom prst="rect">
          <a:avLst/>
        </a:prstGeom>
      </xdr:spPr>
    </xdr:pic>
    <xdr:clientData/>
  </xdr:twoCellAnchor>
  <xdr:twoCellAnchor editAs="oneCell">
    <xdr:from>
      <xdr:col>1</xdr:col>
      <xdr:colOff>101600</xdr:colOff>
      <xdr:row>14</xdr:row>
      <xdr:rowOff>338666</xdr:rowOff>
    </xdr:from>
    <xdr:to>
      <xdr:col>1</xdr:col>
      <xdr:colOff>5977466</xdr:colOff>
      <xdr:row>14</xdr:row>
      <xdr:rowOff>2438399</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4"/>
        <a:stretch>
          <a:fillRect/>
        </a:stretch>
      </xdr:blipFill>
      <xdr:spPr>
        <a:xfrm>
          <a:off x="1202267" y="16425333"/>
          <a:ext cx="5875866" cy="2099733"/>
        </a:xfrm>
        <a:prstGeom prst="rect">
          <a:avLst/>
        </a:prstGeom>
      </xdr:spPr>
    </xdr:pic>
    <xdr:clientData/>
  </xdr:twoCellAnchor>
  <xdr:twoCellAnchor editAs="oneCell">
    <xdr:from>
      <xdr:col>1</xdr:col>
      <xdr:colOff>8669866</xdr:colOff>
      <xdr:row>14</xdr:row>
      <xdr:rowOff>321733</xdr:rowOff>
    </xdr:from>
    <xdr:to>
      <xdr:col>1</xdr:col>
      <xdr:colOff>11599333</xdr:colOff>
      <xdr:row>14</xdr:row>
      <xdr:rowOff>2814509</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a:stretch>
          <a:fillRect/>
        </a:stretch>
      </xdr:blipFill>
      <xdr:spPr>
        <a:xfrm>
          <a:off x="9770533" y="16408400"/>
          <a:ext cx="2929467" cy="2492776"/>
        </a:xfrm>
        <a:prstGeom prst="rect">
          <a:avLst/>
        </a:prstGeom>
      </xdr:spPr>
    </xdr:pic>
    <xdr:clientData/>
  </xdr:twoCellAnchor>
  <xdr:twoCellAnchor editAs="oneCell">
    <xdr:from>
      <xdr:col>1</xdr:col>
      <xdr:colOff>12496798</xdr:colOff>
      <xdr:row>14</xdr:row>
      <xdr:rowOff>541866</xdr:rowOff>
    </xdr:from>
    <xdr:to>
      <xdr:col>1</xdr:col>
      <xdr:colOff>19002765</xdr:colOff>
      <xdr:row>14</xdr:row>
      <xdr:rowOff>2235200</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stretch>
          <a:fillRect/>
        </a:stretch>
      </xdr:blipFill>
      <xdr:spPr>
        <a:xfrm>
          <a:off x="13597465" y="16628533"/>
          <a:ext cx="6505967" cy="16933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355600</xdr:colOff>
          <xdr:row>3</xdr:row>
          <xdr:rowOff>139700</xdr:rowOff>
        </xdr:from>
        <xdr:to>
          <xdr:col>2</xdr:col>
          <xdr:colOff>571500</xdr:colOff>
          <xdr:row>3</xdr:row>
          <xdr:rowOff>330200</xdr:rowOff>
        </xdr:to>
        <xdr:sp macro="" textlink="">
          <xdr:nvSpPr>
            <xdr:cNvPr id="11322" name="Check Box 58" hidden="1">
              <a:extLst>
                <a:ext uri="{63B3BB69-23CF-44E3-9099-C40C66FF867C}">
                  <a14:compatExt spid="_x0000_s11322"/>
                </a:ext>
                <a:ext uri="{FF2B5EF4-FFF2-40B4-BE49-F238E27FC236}">
                  <a16:creationId xmlns:a16="http://schemas.microsoft.com/office/drawing/2014/main" id="{00000000-0008-0000-0500-00003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4</xdr:row>
          <xdr:rowOff>25400</xdr:rowOff>
        </xdr:from>
        <xdr:to>
          <xdr:col>2</xdr:col>
          <xdr:colOff>571500</xdr:colOff>
          <xdr:row>4</xdr:row>
          <xdr:rowOff>203200</xdr:rowOff>
        </xdr:to>
        <xdr:sp macro="" textlink="">
          <xdr:nvSpPr>
            <xdr:cNvPr id="11323" name="Check Box 59" hidden="1">
              <a:extLst>
                <a:ext uri="{63B3BB69-23CF-44E3-9099-C40C66FF867C}">
                  <a14:compatExt spid="_x0000_s11323"/>
                </a:ext>
                <a:ext uri="{FF2B5EF4-FFF2-40B4-BE49-F238E27FC236}">
                  <a16:creationId xmlns:a16="http://schemas.microsoft.com/office/drawing/2014/main" id="{00000000-0008-0000-0500-00003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6</xdr:row>
          <xdr:rowOff>25400</xdr:rowOff>
        </xdr:from>
        <xdr:to>
          <xdr:col>2</xdr:col>
          <xdr:colOff>571500</xdr:colOff>
          <xdr:row>6</xdr:row>
          <xdr:rowOff>203200</xdr:rowOff>
        </xdr:to>
        <xdr:sp macro="" textlink="">
          <xdr:nvSpPr>
            <xdr:cNvPr id="11324" name="Check Box 60" hidden="1">
              <a:extLst>
                <a:ext uri="{63B3BB69-23CF-44E3-9099-C40C66FF867C}">
                  <a14:compatExt spid="_x0000_s11324"/>
                </a:ext>
                <a:ext uri="{FF2B5EF4-FFF2-40B4-BE49-F238E27FC236}">
                  <a16:creationId xmlns:a16="http://schemas.microsoft.com/office/drawing/2014/main" id="{00000000-0008-0000-0500-00003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7</xdr:row>
          <xdr:rowOff>25400</xdr:rowOff>
        </xdr:from>
        <xdr:to>
          <xdr:col>2</xdr:col>
          <xdr:colOff>571500</xdr:colOff>
          <xdr:row>7</xdr:row>
          <xdr:rowOff>203200</xdr:rowOff>
        </xdr:to>
        <xdr:sp macro="" textlink="">
          <xdr:nvSpPr>
            <xdr:cNvPr id="11325" name="Check Box 61" hidden="1">
              <a:extLst>
                <a:ext uri="{63B3BB69-23CF-44E3-9099-C40C66FF867C}">
                  <a14:compatExt spid="_x0000_s11325"/>
                </a:ext>
                <a:ext uri="{FF2B5EF4-FFF2-40B4-BE49-F238E27FC236}">
                  <a16:creationId xmlns:a16="http://schemas.microsoft.com/office/drawing/2014/main" id="{00000000-0008-0000-0500-00003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8</xdr:row>
          <xdr:rowOff>25400</xdr:rowOff>
        </xdr:from>
        <xdr:to>
          <xdr:col>2</xdr:col>
          <xdr:colOff>571500</xdr:colOff>
          <xdr:row>8</xdr:row>
          <xdr:rowOff>203200</xdr:rowOff>
        </xdr:to>
        <xdr:sp macro="" textlink="">
          <xdr:nvSpPr>
            <xdr:cNvPr id="11326" name="Check Box 62" hidden="1">
              <a:extLst>
                <a:ext uri="{63B3BB69-23CF-44E3-9099-C40C66FF867C}">
                  <a14:compatExt spid="_x0000_s11326"/>
                </a:ext>
                <a:ext uri="{FF2B5EF4-FFF2-40B4-BE49-F238E27FC236}">
                  <a16:creationId xmlns:a16="http://schemas.microsoft.com/office/drawing/2014/main" id="{00000000-0008-0000-0500-00003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9</xdr:row>
          <xdr:rowOff>25400</xdr:rowOff>
        </xdr:from>
        <xdr:to>
          <xdr:col>2</xdr:col>
          <xdr:colOff>571500</xdr:colOff>
          <xdr:row>9</xdr:row>
          <xdr:rowOff>203200</xdr:rowOff>
        </xdr:to>
        <xdr:sp macro="" textlink="">
          <xdr:nvSpPr>
            <xdr:cNvPr id="11327" name="Check Box 63" hidden="1">
              <a:extLst>
                <a:ext uri="{63B3BB69-23CF-44E3-9099-C40C66FF867C}">
                  <a14:compatExt spid="_x0000_s11327"/>
                </a:ext>
                <a:ext uri="{FF2B5EF4-FFF2-40B4-BE49-F238E27FC236}">
                  <a16:creationId xmlns:a16="http://schemas.microsoft.com/office/drawing/2014/main" id="{00000000-0008-0000-0500-00003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11</xdr:row>
          <xdr:rowOff>25400</xdr:rowOff>
        </xdr:from>
        <xdr:to>
          <xdr:col>2</xdr:col>
          <xdr:colOff>571500</xdr:colOff>
          <xdr:row>11</xdr:row>
          <xdr:rowOff>203200</xdr:rowOff>
        </xdr:to>
        <xdr:sp macro="" textlink="">
          <xdr:nvSpPr>
            <xdr:cNvPr id="11328" name="Check Box 64" hidden="1">
              <a:extLst>
                <a:ext uri="{63B3BB69-23CF-44E3-9099-C40C66FF867C}">
                  <a14:compatExt spid="_x0000_s11328"/>
                </a:ext>
                <a:ext uri="{FF2B5EF4-FFF2-40B4-BE49-F238E27FC236}">
                  <a16:creationId xmlns:a16="http://schemas.microsoft.com/office/drawing/2014/main" id="{00000000-0008-0000-0500-00004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12</xdr:row>
          <xdr:rowOff>25400</xdr:rowOff>
        </xdr:from>
        <xdr:to>
          <xdr:col>2</xdr:col>
          <xdr:colOff>571500</xdr:colOff>
          <xdr:row>12</xdr:row>
          <xdr:rowOff>203200</xdr:rowOff>
        </xdr:to>
        <xdr:sp macro="" textlink="">
          <xdr:nvSpPr>
            <xdr:cNvPr id="11329" name="Check Box 65" hidden="1">
              <a:extLst>
                <a:ext uri="{63B3BB69-23CF-44E3-9099-C40C66FF867C}">
                  <a14:compatExt spid="_x0000_s11329"/>
                </a:ext>
                <a:ext uri="{FF2B5EF4-FFF2-40B4-BE49-F238E27FC236}">
                  <a16:creationId xmlns:a16="http://schemas.microsoft.com/office/drawing/2014/main" id="{00000000-0008-0000-0500-00004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13</xdr:row>
          <xdr:rowOff>25400</xdr:rowOff>
        </xdr:from>
        <xdr:to>
          <xdr:col>2</xdr:col>
          <xdr:colOff>571500</xdr:colOff>
          <xdr:row>13</xdr:row>
          <xdr:rowOff>203200</xdr:rowOff>
        </xdr:to>
        <xdr:sp macro="" textlink="">
          <xdr:nvSpPr>
            <xdr:cNvPr id="11330" name="Check Box 66" hidden="1">
              <a:extLst>
                <a:ext uri="{63B3BB69-23CF-44E3-9099-C40C66FF867C}">
                  <a14:compatExt spid="_x0000_s11330"/>
                </a:ext>
                <a:ext uri="{FF2B5EF4-FFF2-40B4-BE49-F238E27FC236}">
                  <a16:creationId xmlns:a16="http://schemas.microsoft.com/office/drawing/2014/main" id="{00000000-0008-0000-0500-00004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14</xdr:row>
          <xdr:rowOff>25400</xdr:rowOff>
        </xdr:from>
        <xdr:to>
          <xdr:col>2</xdr:col>
          <xdr:colOff>571500</xdr:colOff>
          <xdr:row>14</xdr:row>
          <xdr:rowOff>203200</xdr:rowOff>
        </xdr:to>
        <xdr:sp macro="" textlink="">
          <xdr:nvSpPr>
            <xdr:cNvPr id="11331" name="Check Box 67" hidden="1">
              <a:extLst>
                <a:ext uri="{63B3BB69-23CF-44E3-9099-C40C66FF867C}">
                  <a14:compatExt spid="_x0000_s11331"/>
                </a:ext>
                <a:ext uri="{FF2B5EF4-FFF2-40B4-BE49-F238E27FC236}">
                  <a16:creationId xmlns:a16="http://schemas.microsoft.com/office/drawing/2014/main" id="{00000000-0008-0000-0500-00004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15</xdr:row>
          <xdr:rowOff>25400</xdr:rowOff>
        </xdr:from>
        <xdr:to>
          <xdr:col>2</xdr:col>
          <xdr:colOff>571500</xdr:colOff>
          <xdr:row>15</xdr:row>
          <xdr:rowOff>203200</xdr:rowOff>
        </xdr:to>
        <xdr:sp macro="" textlink="">
          <xdr:nvSpPr>
            <xdr:cNvPr id="11332" name="Check Box 68" hidden="1">
              <a:extLst>
                <a:ext uri="{63B3BB69-23CF-44E3-9099-C40C66FF867C}">
                  <a14:compatExt spid="_x0000_s11332"/>
                </a:ext>
                <a:ext uri="{FF2B5EF4-FFF2-40B4-BE49-F238E27FC236}">
                  <a16:creationId xmlns:a16="http://schemas.microsoft.com/office/drawing/2014/main" id="{00000000-0008-0000-0500-00004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16</xdr:row>
          <xdr:rowOff>25400</xdr:rowOff>
        </xdr:from>
        <xdr:to>
          <xdr:col>2</xdr:col>
          <xdr:colOff>571500</xdr:colOff>
          <xdr:row>16</xdr:row>
          <xdr:rowOff>203200</xdr:rowOff>
        </xdr:to>
        <xdr:sp macro="" textlink="">
          <xdr:nvSpPr>
            <xdr:cNvPr id="11333" name="Check Box 69" hidden="1">
              <a:extLst>
                <a:ext uri="{63B3BB69-23CF-44E3-9099-C40C66FF867C}">
                  <a14:compatExt spid="_x0000_s11333"/>
                </a:ext>
                <a:ext uri="{FF2B5EF4-FFF2-40B4-BE49-F238E27FC236}">
                  <a16:creationId xmlns:a16="http://schemas.microsoft.com/office/drawing/2014/main" id="{00000000-0008-0000-0500-00004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17</xdr:row>
          <xdr:rowOff>25400</xdr:rowOff>
        </xdr:from>
        <xdr:to>
          <xdr:col>2</xdr:col>
          <xdr:colOff>571500</xdr:colOff>
          <xdr:row>17</xdr:row>
          <xdr:rowOff>203200</xdr:rowOff>
        </xdr:to>
        <xdr:sp macro="" textlink="">
          <xdr:nvSpPr>
            <xdr:cNvPr id="11334" name="Check Box 70" hidden="1">
              <a:extLst>
                <a:ext uri="{63B3BB69-23CF-44E3-9099-C40C66FF867C}">
                  <a14:compatExt spid="_x0000_s11334"/>
                </a:ext>
                <a:ext uri="{FF2B5EF4-FFF2-40B4-BE49-F238E27FC236}">
                  <a16:creationId xmlns:a16="http://schemas.microsoft.com/office/drawing/2014/main" id="{00000000-0008-0000-0500-00004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18</xdr:row>
          <xdr:rowOff>25400</xdr:rowOff>
        </xdr:from>
        <xdr:to>
          <xdr:col>2</xdr:col>
          <xdr:colOff>571500</xdr:colOff>
          <xdr:row>18</xdr:row>
          <xdr:rowOff>203200</xdr:rowOff>
        </xdr:to>
        <xdr:sp macro="" textlink="">
          <xdr:nvSpPr>
            <xdr:cNvPr id="11335" name="Check Box 71" hidden="1">
              <a:extLst>
                <a:ext uri="{63B3BB69-23CF-44E3-9099-C40C66FF867C}">
                  <a14:compatExt spid="_x0000_s11335"/>
                </a:ext>
                <a:ext uri="{FF2B5EF4-FFF2-40B4-BE49-F238E27FC236}">
                  <a16:creationId xmlns:a16="http://schemas.microsoft.com/office/drawing/2014/main" id="{00000000-0008-0000-0500-00004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190500</xdr:colOff>
      <xdr:row>8</xdr:row>
      <xdr:rowOff>402166</xdr:rowOff>
    </xdr:from>
    <xdr:to>
      <xdr:col>1</xdr:col>
      <xdr:colOff>5557725</xdr:colOff>
      <xdr:row>8</xdr:row>
      <xdr:rowOff>3344333</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248833" y="2264833"/>
          <a:ext cx="5367225" cy="2942167"/>
        </a:xfrm>
        <a:prstGeom prst="rect">
          <a:avLst/>
        </a:prstGeom>
      </xdr:spPr>
    </xdr:pic>
    <xdr:clientData/>
  </xdr:twoCellAnchor>
  <xdr:twoCellAnchor editAs="oneCell">
    <xdr:from>
      <xdr:col>1</xdr:col>
      <xdr:colOff>9630832</xdr:colOff>
      <xdr:row>8</xdr:row>
      <xdr:rowOff>1058332</xdr:rowOff>
    </xdr:from>
    <xdr:to>
      <xdr:col>1</xdr:col>
      <xdr:colOff>18583483</xdr:colOff>
      <xdr:row>8</xdr:row>
      <xdr:rowOff>2497665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10689165" y="2920999"/>
          <a:ext cx="8952651" cy="1439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342900</xdr:colOff>
          <xdr:row>1</xdr:row>
          <xdr:rowOff>228600</xdr:rowOff>
        </xdr:from>
        <xdr:to>
          <xdr:col>2</xdr:col>
          <xdr:colOff>596900</xdr:colOff>
          <xdr:row>2</xdr:row>
          <xdr:rowOff>228600</xdr:rowOff>
        </xdr:to>
        <xdr:sp macro="" textlink="">
          <xdr:nvSpPr>
            <xdr:cNvPr id="12347" name="Check Box 59" hidden="1">
              <a:extLst>
                <a:ext uri="{63B3BB69-23CF-44E3-9099-C40C66FF867C}">
                  <a14:compatExt spid="_x0000_s12347"/>
                </a:ext>
                <a:ext uri="{FF2B5EF4-FFF2-40B4-BE49-F238E27FC236}">
                  <a16:creationId xmlns:a16="http://schemas.microsoft.com/office/drawing/2014/main" id="{00000000-0008-0000-0600-00003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xdr:row>
          <xdr:rowOff>228600</xdr:rowOff>
        </xdr:from>
        <xdr:to>
          <xdr:col>2</xdr:col>
          <xdr:colOff>596900</xdr:colOff>
          <xdr:row>3</xdr:row>
          <xdr:rowOff>228600</xdr:rowOff>
        </xdr:to>
        <xdr:sp macro="" textlink="">
          <xdr:nvSpPr>
            <xdr:cNvPr id="12348" name="Check Box 60" hidden="1">
              <a:extLst>
                <a:ext uri="{63B3BB69-23CF-44E3-9099-C40C66FF867C}">
                  <a14:compatExt spid="_x0000_s12348"/>
                </a:ext>
                <a:ext uri="{FF2B5EF4-FFF2-40B4-BE49-F238E27FC236}">
                  <a16:creationId xmlns:a16="http://schemas.microsoft.com/office/drawing/2014/main" id="{00000000-0008-0000-0600-00003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xdr:row>
          <xdr:rowOff>228600</xdr:rowOff>
        </xdr:from>
        <xdr:to>
          <xdr:col>2</xdr:col>
          <xdr:colOff>596900</xdr:colOff>
          <xdr:row>4</xdr:row>
          <xdr:rowOff>228600</xdr:rowOff>
        </xdr:to>
        <xdr:sp macro="" textlink="">
          <xdr:nvSpPr>
            <xdr:cNvPr id="12349" name="Check Box 61" hidden="1">
              <a:extLst>
                <a:ext uri="{63B3BB69-23CF-44E3-9099-C40C66FF867C}">
                  <a14:compatExt spid="_x0000_s12349"/>
                </a:ext>
                <a:ext uri="{FF2B5EF4-FFF2-40B4-BE49-F238E27FC236}">
                  <a16:creationId xmlns:a16="http://schemas.microsoft.com/office/drawing/2014/main" id="{00000000-0008-0000-0600-00003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xdr:row>
          <xdr:rowOff>228600</xdr:rowOff>
        </xdr:from>
        <xdr:to>
          <xdr:col>2</xdr:col>
          <xdr:colOff>596900</xdr:colOff>
          <xdr:row>5</xdr:row>
          <xdr:rowOff>228600</xdr:rowOff>
        </xdr:to>
        <xdr:sp macro="" textlink="">
          <xdr:nvSpPr>
            <xdr:cNvPr id="12350" name="Check Box 62" hidden="1">
              <a:extLst>
                <a:ext uri="{63B3BB69-23CF-44E3-9099-C40C66FF867C}">
                  <a14:compatExt spid="_x0000_s12350"/>
                </a:ext>
                <a:ext uri="{FF2B5EF4-FFF2-40B4-BE49-F238E27FC236}">
                  <a16:creationId xmlns:a16="http://schemas.microsoft.com/office/drawing/2014/main" id="{00000000-0008-0000-0600-00003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xdr:row>
          <xdr:rowOff>228600</xdr:rowOff>
        </xdr:from>
        <xdr:to>
          <xdr:col>2</xdr:col>
          <xdr:colOff>596900</xdr:colOff>
          <xdr:row>5</xdr:row>
          <xdr:rowOff>228600</xdr:rowOff>
        </xdr:to>
        <xdr:sp macro="" textlink="">
          <xdr:nvSpPr>
            <xdr:cNvPr id="12351" name="Check Box 63" hidden="1">
              <a:extLst>
                <a:ext uri="{63B3BB69-23CF-44E3-9099-C40C66FF867C}">
                  <a14:compatExt spid="_x0000_s12351"/>
                </a:ext>
                <a:ext uri="{FF2B5EF4-FFF2-40B4-BE49-F238E27FC236}">
                  <a16:creationId xmlns:a16="http://schemas.microsoft.com/office/drawing/2014/main" id="{00000000-0008-0000-0600-00003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5</xdr:row>
          <xdr:rowOff>228600</xdr:rowOff>
        </xdr:from>
        <xdr:to>
          <xdr:col>2</xdr:col>
          <xdr:colOff>596900</xdr:colOff>
          <xdr:row>6</xdr:row>
          <xdr:rowOff>228600</xdr:rowOff>
        </xdr:to>
        <xdr:sp macro="" textlink="">
          <xdr:nvSpPr>
            <xdr:cNvPr id="12352" name="Check Box 64" hidden="1">
              <a:extLst>
                <a:ext uri="{63B3BB69-23CF-44E3-9099-C40C66FF867C}">
                  <a14:compatExt spid="_x0000_s12352"/>
                </a:ext>
                <a:ext uri="{FF2B5EF4-FFF2-40B4-BE49-F238E27FC236}">
                  <a16:creationId xmlns:a16="http://schemas.microsoft.com/office/drawing/2014/main" id="{00000000-0008-0000-0600-00004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5</xdr:row>
          <xdr:rowOff>228600</xdr:rowOff>
        </xdr:from>
        <xdr:to>
          <xdr:col>2</xdr:col>
          <xdr:colOff>596900</xdr:colOff>
          <xdr:row>6</xdr:row>
          <xdr:rowOff>228600</xdr:rowOff>
        </xdr:to>
        <xdr:sp macro="" textlink="">
          <xdr:nvSpPr>
            <xdr:cNvPr id="12353" name="Check Box 65" hidden="1">
              <a:extLst>
                <a:ext uri="{63B3BB69-23CF-44E3-9099-C40C66FF867C}">
                  <a14:compatExt spid="_x0000_s12353"/>
                </a:ext>
                <a:ext uri="{FF2B5EF4-FFF2-40B4-BE49-F238E27FC236}">
                  <a16:creationId xmlns:a16="http://schemas.microsoft.com/office/drawing/2014/main" id="{00000000-0008-0000-0600-00004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6</xdr:row>
          <xdr:rowOff>228600</xdr:rowOff>
        </xdr:from>
        <xdr:to>
          <xdr:col>2</xdr:col>
          <xdr:colOff>596900</xdr:colOff>
          <xdr:row>7</xdr:row>
          <xdr:rowOff>228600</xdr:rowOff>
        </xdr:to>
        <xdr:sp macro="" textlink="">
          <xdr:nvSpPr>
            <xdr:cNvPr id="12354" name="Check Box 66" hidden="1">
              <a:extLst>
                <a:ext uri="{63B3BB69-23CF-44E3-9099-C40C66FF867C}">
                  <a14:compatExt spid="_x0000_s12354"/>
                </a:ext>
                <a:ext uri="{FF2B5EF4-FFF2-40B4-BE49-F238E27FC236}">
                  <a16:creationId xmlns:a16="http://schemas.microsoft.com/office/drawing/2014/main" id="{00000000-0008-0000-0600-00004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6</xdr:row>
          <xdr:rowOff>228600</xdr:rowOff>
        </xdr:from>
        <xdr:to>
          <xdr:col>2</xdr:col>
          <xdr:colOff>596900</xdr:colOff>
          <xdr:row>7</xdr:row>
          <xdr:rowOff>228600</xdr:rowOff>
        </xdr:to>
        <xdr:sp macro="" textlink="">
          <xdr:nvSpPr>
            <xdr:cNvPr id="12355" name="Check Box 67" hidden="1">
              <a:extLst>
                <a:ext uri="{63B3BB69-23CF-44E3-9099-C40C66FF867C}">
                  <a14:compatExt spid="_x0000_s12355"/>
                </a:ext>
                <a:ext uri="{FF2B5EF4-FFF2-40B4-BE49-F238E27FC236}">
                  <a16:creationId xmlns:a16="http://schemas.microsoft.com/office/drawing/2014/main" id="{00000000-0008-0000-0600-00004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8</xdr:row>
          <xdr:rowOff>228600</xdr:rowOff>
        </xdr:from>
        <xdr:to>
          <xdr:col>2</xdr:col>
          <xdr:colOff>596900</xdr:colOff>
          <xdr:row>8</xdr:row>
          <xdr:rowOff>469900</xdr:rowOff>
        </xdr:to>
        <xdr:sp macro="" textlink="">
          <xdr:nvSpPr>
            <xdr:cNvPr id="12358" name="Check Box 70" hidden="1">
              <a:extLst>
                <a:ext uri="{63B3BB69-23CF-44E3-9099-C40C66FF867C}">
                  <a14:compatExt spid="_x0000_s12358"/>
                </a:ext>
                <a:ext uri="{FF2B5EF4-FFF2-40B4-BE49-F238E27FC236}">
                  <a16:creationId xmlns:a16="http://schemas.microsoft.com/office/drawing/2014/main" id="{00000000-0008-0000-06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10</xdr:row>
          <xdr:rowOff>127000</xdr:rowOff>
        </xdr:from>
        <xdr:to>
          <xdr:col>2</xdr:col>
          <xdr:colOff>596900</xdr:colOff>
          <xdr:row>10</xdr:row>
          <xdr:rowOff>355600</xdr:rowOff>
        </xdr:to>
        <xdr:sp macro="" textlink="">
          <xdr:nvSpPr>
            <xdr:cNvPr id="12359" name="Check Box 71" hidden="1">
              <a:extLst>
                <a:ext uri="{63B3BB69-23CF-44E3-9099-C40C66FF867C}">
                  <a14:compatExt spid="_x0000_s12359"/>
                </a:ext>
                <a:ext uri="{FF2B5EF4-FFF2-40B4-BE49-F238E27FC236}">
                  <a16:creationId xmlns:a16="http://schemas.microsoft.com/office/drawing/2014/main" id="{00000000-0008-0000-0600-00004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14</xdr:row>
          <xdr:rowOff>101600</xdr:rowOff>
        </xdr:from>
        <xdr:to>
          <xdr:col>2</xdr:col>
          <xdr:colOff>596900</xdr:colOff>
          <xdr:row>14</xdr:row>
          <xdr:rowOff>330200</xdr:rowOff>
        </xdr:to>
        <xdr:sp macro="" textlink="">
          <xdr:nvSpPr>
            <xdr:cNvPr id="12360" name="Check Box 72" hidden="1">
              <a:extLst>
                <a:ext uri="{63B3BB69-23CF-44E3-9099-C40C66FF867C}">
                  <a14:compatExt spid="_x0000_s12360"/>
                </a:ext>
                <a:ext uri="{FF2B5EF4-FFF2-40B4-BE49-F238E27FC236}">
                  <a16:creationId xmlns:a16="http://schemas.microsoft.com/office/drawing/2014/main" id="{00000000-0008-0000-0600-00004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16</xdr:row>
          <xdr:rowOff>0</xdr:rowOff>
        </xdr:from>
        <xdr:to>
          <xdr:col>2</xdr:col>
          <xdr:colOff>596900</xdr:colOff>
          <xdr:row>16</xdr:row>
          <xdr:rowOff>228600</xdr:rowOff>
        </xdr:to>
        <xdr:sp macro="" textlink="">
          <xdr:nvSpPr>
            <xdr:cNvPr id="12361" name="Check Box 73" hidden="1">
              <a:extLst>
                <a:ext uri="{63B3BB69-23CF-44E3-9099-C40C66FF867C}">
                  <a14:compatExt spid="_x0000_s12361"/>
                </a:ext>
                <a:ext uri="{FF2B5EF4-FFF2-40B4-BE49-F238E27FC236}">
                  <a16:creationId xmlns:a16="http://schemas.microsoft.com/office/drawing/2014/main" id="{00000000-0008-0000-0600-00004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17</xdr:row>
          <xdr:rowOff>0</xdr:rowOff>
        </xdr:from>
        <xdr:to>
          <xdr:col>2</xdr:col>
          <xdr:colOff>596900</xdr:colOff>
          <xdr:row>17</xdr:row>
          <xdr:rowOff>228600</xdr:rowOff>
        </xdr:to>
        <xdr:sp macro="" textlink="">
          <xdr:nvSpPr>
            <xdr:cNvPr id="12362" name="Check Box 74" hidden="1">
              <a:extLst>
                <a:ext uri="{63B3BB69-23CF-44E3-9099-C40C66FF867C}">
                  <a14:compatExt spid="_x0000_s12362"/>
                </a:ext>
                <a:ext uri="{FF2B5EF4-FFF2-40B4-BE49-F238E27FC236}">
                  <a16:creationId xmlns:a16="http://schemas.microsoft.com/office/drawing/2014/main" id="{00000000-0008-0000-0600-00004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18</xdr:row>
          <xdr:rowOff>0</xdr:rowOff>
        </xdr:from>
        <xdr:to>
          <xdr:col>2</xdr:col>
          <xdr:colOff>596900</xdr:colOff>
          <xdr:row>18</xdr:row>
          <xdr:rowOff>228600</xdr:rowOff>
        </xdr:to>
        <xdr:sp macro="" textlink="">
          <xdr:nvSpPr>
            <xdr:cNvPr id="12363" name="Check Box 75" hidden="1">
              <a:extLst>
                <a:ext uri="{63B3BB69-23CF-44E3-9099-C40C66FF867C}">
                  <a14:compatExt spid="_x0000_s12363"/>
                </a:ext>
                <a:ext uri="{FF2B5EF4-FFF2-40B4-BE49-F238E27FC236}">
                  <a16:creationId xmlns:a16="http://schemas.microsoft.com/office/drawing/2014/main" id="{00000000-0008-0000-0600-00004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19</xdr:row>
          <xdr:rowOff>0</xdr:rowOff>
        </xdr:from>
        <xdr:to>
          <xdr:col>2</xdr:col>
          <xdr:colOff>596900</xdr:colOff>
          <xdr:row>19</xdr:row>
          <xdr:rowOff>228600</xdr:rowOff>
        </xdr:to>
        <xdr:sp macro="" textlink="">
          <xdr:nvSpPr>
            <xdr:cNvPr id="12364" name="Check Box 76" hidden="1">
              <a:extLst>
                <a:ext uri="{63B3BB69-23CF-44E3-9099-C40C66FF867C}">
                  <a14:compatExt spid="_x0000_s12364"/>
                </a:ext>
                <a:ext uri="{FF2B5EF4-FFF2-40B4-BE49-F238E27FC236}">
                  <a16:creationId xmlns:a16="http://schemas.microsoft.com/office/drawing/2014/main" id="{00000000-0008-0000-0600-00004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21</xdr:row>
          <xdr:rowOff>0</xdr:rowOff>
        </xdr:from>
        <xdr:to>
          <xdr:col>2</xdr:col>
          <xdr:colOff>596900</xdr:colOff>
          <xdr:row>21</xdr:row>
          <xdr:rowOff>228600</xdr:rowOff>
        </xdr:to>
        <xdr:sp macro="" textlink="">
          <xdr:nvSpPr>
            <xdr:cNvPr id="12365" name="Check Box 77" hidden="1">
              <a:extLst>
                <a:ext uri="{63B3BB69-23CF-44E3-9099-C40C66FF867C}">
                  <a14:compatExt spid="_x0000_s12365"/>
                </a:ext>
                <a:ext uri="{FF2B5EF4-FFF2-40B4-BE49-F238E27FC236}">
                  <a16:creationId xmlns:a16="http://schemas.microsoft.com/office/drawing/2014/main" id="{00000000-0008-0000-06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23</xdr:row>
          <xdr:rowOff>0</xdr:rowOff>
        </xdr:from>
        <xdr:to>
          <xdr:col>2</xdr:col>
          <xdr:colOff>596900</xdr:colOff>
          <xdr:row>23</xdr:row>
          <xdr:rowOff>228600</xdr:rowOff>
        </xdr:to>
        <xdr:sp macro="" textlink="">
          <xdr:nvSpPr>
            <xdr:cNvPr id="12366" name="Check Box 78" hidden="1">
              <a:extLst>
                <a:ext uri="{63B3BB69-23CF-44E3-9099-C40C66FF867C}">
                  <a14:compatExt spid="_x0000_s12366"/>
                </a:ext>
                <a:ext uri="{FF2B5EF4-FFF2-40B4-BE49-F238E27FC236}">
                  <a16:creationId xmlns:a16="http://schemas.microsoft.com/office/drawing/2014/main" id="{00000000-0008-0000-0600-00004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24</xdr:row>
          <xdr:rowOff>0</xdr:rowOff>
        </xdr:from>
        <xdr:to>
          <xdr:col>2</xdr:col>
          <xdr:colOff>596900</xdr:colOff>
          <xdr:row>24</xdr:row>
          <xdr:rowOff>228600</xdr:rowOff>
        </xdr:to>
        <xdr:sp macro="" textlink="">
          <xdr:nvSpPr>
            <xdr:cNvPr id="12367" name="Check Box 79" hidden="1">
              <a:extLst>
                <a:ext uri="{63B3BB69-23CF-44E3-9099-C40C66FF867C}">
                  <a14:compatExt spid="_x0000_s12367"/>
                </a:ext>
                <a:ext uri="{FF2B5EF4-FFF2-40B4-BE49-F238E27FC236}">
                  <a16:creationId xmlns:a16="http://schemas.microsoft.com/office/drawing/2014/main" id="{00000000-0008-0000-0600-00004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113731</xdr:colOff>
      <xdr:row>36</xdr:row>
      <xdr:rowOff>398059</xdr:rowOff>
    </xdr:from>
    <xdr:to>
      <xdr:col>1</xdr:col>
      <xdr:colOff>6122537</xdr:colOff>
      <xdr:row>36</xdr:row>
      <xdr:rowOff>1469194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175224" y="17078656"/>
          <a:ext cx="6008806" cy="10711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279400</xdr:colOff>
          <xdr:row>1</xdr:row>
          <xdr:rowOff>38100</xdr:rowOff>
        </xdr:from>
        <xdr:to>
          <xdr:col>2</xdr:col>
          <xdr:colOff>584200</xdr:colOff>
          <xdr:row>1</xdr:row>
          <xdr:rowOff>228600</xdr:rowOff>
        </xdr:to>
        <xdr:sp macro="" textlink="">
          <xdr:nvSpPr>
            <xdr:cNvPr id="7225" name="Check Box 57" hidden="1">
              <a:extLst>
                <a:ext uri="{63B3BB69-23CF-44E3-9099-C40C66FF867C}">
                  <a14:compatExt spid="_x0000_s7225"/>
                </a:ext>
                <a:ext uri="{FF2B5EF4-FFF2-40B4-BE49-F238E27FC236}">
                  <a16:creationId xmlns:a16="http://schemas.microsoft.com/office/drawing/2014/main" id="{00000000-0008-0000-0700-00003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xdr:row>
          <xdr:rowOff>38100</xdr:rowOff>
        </xdr:from>
        <xdr:to>
          <xdr:col>2</xdr:col>
          <xdr:colOff>584200</xdr:colOff>
          <xdr:row>2</xdr:row>
          <xdr:rowOff>228600</xdr:rowOff>
        </xdr:to>
        <xdr:sp macro="" textlink="">
          <xdr:nvSpPr>
            <xdr:cNvPr id="7226" name="Check Box 58" hidden="1">
              <a:extLst>
                <a:ext uri="{63B3BB69-23CF-44E3-9099-C40C66FF867C}">
                  <a14:compatExt spid="_x0000_s7226"/>
                </a:ext>
                <a:ext uri="{FF2B5EF4-FFF2-40B4-BE49-F238E27FC236}">
                  <a16:creationId xmlns:a16="http://schemas.microsoft.com/office/drawing/2014/main" id="{00000000-0008-0000-0700-00003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xdr:row>
          <xdr:rowOff>38100</xdr:rowOff>
        </xdr:from>
        <xdr:to>
          <xdr:col>2</xdr:col>
          <xdr:colOff>584200</xdr:colOff>
          <xdr:row>4</xdr:row>
          <xdr:rowOff>0</xdr:rowOff>
        </xdr:to>
        <xdr:sp macro="" textlink="">
          <xdr:nvSpPr>
            <xdr:cNvPr id="7227" name="Check Box 59" hidden="1">
              <a:extLst>
                <a:ext uri="{63B3BB69-23CF-44E3-9099-C40C66FF867C}">
                  <a14:compatExt spid="_x0000_s7227"/>
                </a:ext>
                <a:ext uri="{FF2B5EF4-FFF2-40B4-BE49-F238E27FC236}">
                  <a16:creationId xmlns:a16="http://schemas.microsoft.com/office/drawing/2014/main" id="{00000000-0008-0000-0700-00003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xdr:row>
          <xdr:rowOff>38100</xdr:rowOff>
        </xdr:from>
        <xdr:to>
          <xdr:col>2</xdr:col>
          <xdr:colOff>584200</xdr:colOff>
          <xdr:row>5</xdr:row>
          <xdr:rowOff>0</xdr:rowOff>
        </xdr:to>
        <xdr:sp macro="" textlink="">
          <xdr:nvSpPr>
            <xdr:cNvPr id="7228" name="Check Box 60" hidden="1">
              <a:extLst>
                <a:ext uri="{63B3BB69-23CF-44E3-9099-C40C66FF867C}">
                  <a14:compatExt spid="_x0000_s7228"/>
                </a:ext>
                <a:ext uri="{FF2B5EF4-FFF2-40B4-BE49-F238E27FC236}">
                  <a16:creationId xmlns:a16="http://schemas.microsoft.com/office/drawing/2014/main" id="{00000000-0008-0000-0700-00003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5</xdr:row>
          <xdr:rowOff>38100</xdr:rowOff>
        </xdr:from>
        <xdr:to>
          <xdr:col>2</xdr:col>
          <xdr:colOff>584200</xdr:colOff>
          <xdr:row>5</xdr:row>
          <xdr:rowOff>228600</xdr:rowOff>
        </xdr:to>
        <xdr:sp macro="" textlink="">
          <xdr:nvSpPr>
            <xdr:cNvPr id="7229" name="Check Box 61" hidden="1">
              <a:extLst>
                <a:ext uri="{63B3BB69-23CF-44E3-9099-C40C66FF867C}">
                  <a14:compatExt spid="_x0000_s7229"/>
                </a:ext>
                <a:ext uri="{FF2B5EF4-FFF2-40B4-BE49-F238E27FC236}">
                  <a16:creationId xmlns:a16="http://schemas.microsoft.com/office/drawing/2014/main" id="{00000000-0008-0000-0700-00003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6</xdr:row>
          <xdr:rowOff>38100</xdr:rowOff>
        </xdr:from>
        <xdr:to>
          <xdr:col>2</xdr:col>
          <xdr:colOff>584200</xdr:colOff>
          <xdr:row>7</xdr:row>
          <xdr:rowOff>0</xdr:rowOff>
        </xdr:to>
        <xdr:sp macro="" textlink="">
          <xdr:nvSpPr>
            <xdr:cNvPr id="7230" name="Check Box 62" hidden="1">
              <a:extLst>
                <a:ext uri="{63B3BB69-23CF-44E3-9099-C40C66FF867C}">
                  <a14:compatExt spid="_x0000_s7230"/>
                </a:ext>
                <a:ext uri="{FF2B5EF4-FFF2-40B4-BE49-F238E27FC236}">
                  <a16:creationId xmlns:a16="http://schemas.microsoft.com/office/drawing/2014/main" id="{00000000-0008-0000-0700-00003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7</xdr:row>
          <xdr:rowOff>38100</xdr:rowOff>
        </xdr:from>
        <xdr:to>
          <xdr:col>2</xdr:col>
          <xdr:colOff>584200</xdr:colOff>
          <xdr:row>8</xdr:row>
          <xdr:rowOff>0</xdr:rowOff>
        </xdr:to>
        <xdr:sp macro="" textlink="">
          <xdr:nvSpPr>
            <xdr:cNvPr id="7231" name="Check Box 63" hidden="1">
              <a:extLst>
                <a:ext uri="{63B3BB69-23CF-44E3-9099-C40C66FF867C}">
                  <a14:compatExt spid="_x0000_s7231"/>
                </a:ext>
                <a:ext uri="{FF2B5EF4-FFF2-40B4-BE49-F238E27FC236}">
                  <a16:creationId xmlns:a16="http://schemas.microsoft.com/office/drawing/2014/main" id="{00000000-0008-0000-0700-00003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8</xdr:row>
          <xdr:rowOff>38100</xdr:rowOff>
        </xdr:from>
        <xdr:to>
          <xdr:col>2</xdr:col>
          <xdr:colOff>584200</xdr:colOff>
          <xdr:row>8</xdr:row>
          <xdr:rowOff>228600</xdr:rowOff>
        </xdr:to>
        <xdr:sp macro="" textlink="">
          <xdr:nvSpPr>
            <xdr:cNvPr id="7232" name="Check Box 64" hidden="1">
              <a:extLst>
                <a:ext uri="{63B3BB69-23CF-44E3-9099-C40C66FF867C}">
                  <a14:compatExt spid="_x0000_s7232"/>
                </a:ext>
                <a:ext uri="{FF2B5EF4-FFF2-40B4-BE49-F238E27FC236}">
                  <a16:creationId xmlns:a16="http://schemas.microsoft.com/office/drawing/2014/main" id="{00000000-0008-0000-0700-00004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9</xdr:row>
          <xdr:rowOff>38100</xdr:rowOff>
        </xdr:from>
        <xdr:to>
          <xdr:col>2</xdr:col>
          <xdr:colOff>584200</xdr:colOff>
          <xdr:row>9</xdr:row>
          <xdr:rowOff>228600</xdr:rowOff>
        </xdr:to>
        <xdr:sp macro="" textlink="">
          <xdr:nvSpPr>
            <xdr:cNvPr id="7233" name="Check Box 65" hidden="1">
              <a:extLst>
                <a:ext uri="{63B3BB69-23CF-44E3-9099-C40C66FF867C}">
                  <a14:compatExt spid="_x0000_s7233"/>
                </a:ext>
                <a:ext uri="{FF2B5EF4-FFF2-40B4-BE49-F238E27FC236}">
                  <a16:creationId xmlns:a16="http://schemas.microsoft.com/office/drawing/2014/main" id="{00000000-0008-0000-0700-00004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10</xdr:row>
          <xdr:rowOff>38100</xdr:rowOff>
        </xdr:from>
        <xdr:to>
          <xdr:col>2</xdr:col>
          <xdr:colOff>584200</xdr:colOff>
          <xdr:row>11</xdr:row>
          <xdr:rowOff>0</xdr:rowOff>
        </xdr:to>
        <xdr:sp macro="" textlink="">
          <xdr:nvSpPr>
            <xdr:cNvPr id="7234" name="Check Box 66" hidden="1">
              <a:extLst>
                <a:ext uri="{63B3BB69-23CF-44E3-9099-C40C66FF867C}">
                  <a14:compatExt spid="_x0000_s7234"/>
                </a:ext>
                <a:ext uri="{FF2B5EF4-FFF2-40B4-BE49-F238E27FC236}">
                  <a16:creationId xmlns:a16="http://schemas.microsoft.com/office/drawing/2014/main" id="{00000000-0008-0000-0700-00004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11</xdr:row>
          <xdr:rowOff>38100</xdr:rowOff>
        </xdr:from>
        <xdr:to>
          <xdr:col>2</xdr:col>
          <xdr:colOff>584200</xdr:colOff>
          <xdr:row>11</xdr:row>
          <xdr:rowOff>228600</xdr:rowOff>
        </xdr:to>
        <xdr:sp macro="" textlink="">
          <xdr:nvSpPr>
            <xdr:cNvPr id="7235" name="Check Box 67" hidden="1">
              <a:extLst>
                <a:ext uri="{63B3BB69-23CF-44E3-9099-C40C66FF867C}">
                  <a14:compatExt spid="_x0000_s7235"/>
                </a:ext>
                <a:ext uri="{FF2B5EF4-FFF2-40B4-BE49-F238E27FC236}">
                  <a16:creationId xmlns:a16="http://schemas.microsoft.com/office/drawing/2014/main" id="{00000000-0008-0000-0700-00004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12</xdr:row>
          <xdr:rowOff>38100</xdr:rowOff>
        </xdr:from>
        <xdr:to>
          <xdr:col>2</xdr:col>
          <xdr:colOff>584200</xdr:colOff>
          <xdr:row>12</xdr:row>
          <xdr:rowOff>228600</xdr:rowOff>
        </xdr:to>
        <xdr:sp macro="" textlink="">
          <xdr:nvSpPr>
            <xdr:cNvPr id="7236" name="Check Box 68" hidden="1">
              <a:extLst>
                <a:ext uri="{63B3BB69-23CF-44E3-9099-C40C66FF867C}">
                  <a14:compatExt spid="_x0000_s7236"/>
                </a:ext>
                <a:ext uri="{FF2B5EF4-FFF2-40B4-BE49-F238E27FC236}">
                  <a16:creationId xmlns:a16="http://schemas.microsoft.com/office/drawing/2014/main" id="{00000000-0008-0000-0700-00004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13</xdr:row>
          <xdr:rowOff>38100</xdr:rowOff>
        </xdr:from>
        <xdr:to>
          <xdr:col>2</xdr:col>
          <xdr:colOff>584200</xdr:colOff>
          <xdr:row>14</xdr:row>
          <xdr:rowOff>0</xdr:rowOff>
        </xdr:to>
        <xdr:sp macro="" textlink="">
          <xdr:nvSpPr>
            <xdr:cNvPr id="7237" name="Check Box 69" hidden="1">
              <a:extLst>
                <a:ext uri="{63B3BB69-23CF-44E3-9099-C40C66FF867C}">
                  <a14:compatExt spid="_x0000_s7237"/>
                </a:ext>
                <a:ext uri="{FF2B5EF4-FFF2-40B4-BE49-F238E27FC236}">
                  <a16:creationId xmlns:a16="http://schemas.microsoft.com/office/drawing/2014/main" id="{00000000-0008-0000-0700-00004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14</xdr:row>
          <xdr:rowOff>38100</xdr:rowOff>
        </xdr:from>
        <xdr:to>
          <xdr:col>2</xdr:col>
          <xdr:colOff>584200</xdr:colOff>
          <xdr:row>15</xdr:row>
          <xdr:rowOff>0</xdr:rowOff>
        </xdr:to>
        <xdr:sp macro="" textlink="">
          <xdr:nvSpPr>
            <xdr:cNvPr id="7238" name="Check Box 70" hidden="1">
              <a:extLst>
                <a:ext uri="{63B3BB69-23CF-44E3-9099-C40C66FF867C}">
                  <a14:compatExt spid="_x0000_s7238"/>
                </a:ext>
                <a:ext uri="{FF2B5EF4-FFF2-40B4-BE49-F238E27FC236}">
                  <a16:creationId xmlns:a16="http://schemas.microsoft.com/office/drawing/2014/main" id="{00000000-0008-0000-0700-00004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15</xdr:row>
          <xdr:rowOff>38100</xdr:rowOff>
        </xdr:from>
        <xdr:to>
          <xdr:col>2</xdr:col>
          <xdr:colOff>584200</xdr:colOff>
          <xdr:row>15</xdr:row>
          <xdr:rowOff>228600</xdr:rowOff>
        </xdr:to>
        <xdr:sp macro="" textlink="">
          <xdr:nvSpPr>
            <xdr:cNvPr id="7239" name="Check Box 71" hidden="1">
              <a:extLst>
                <a:ext uri="{63B3BB69-23CF-44E3-9099-C40C66FF867C}">
                  <a14:compatExt spid="_x0000_s7239"/>
                </a:ext>
                <a:ext uri="{FF2B5EF4-FFF2-40B4-BE49-F238E27FC236}">
                  <a16:creationId xmlns:a16="http://schemas.microsoft.com/office/drawing/2014/main" id="{00000000-0008-0000-0700-00004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16</xdr:row>
          <xdr:rowOff>38100</xdr:rowOff>
        </xdr:from>
        <xdr:to>
          <xdr:col>2</xdr:col>
          <xdr:colOff>584200</xdr:colOff>
          <xdr:row>16</xdr:row>
          <xdr:rowOff>228600</xdr:rowOff>
        </xdr:to>
        <xdr:sp macro="" textlink="">
          <xdr:nvSpPr>
            <xdr:cNvPr id="7240" name="Check Box 72" hidden="1">
              <a:extLst>
                <a:ext uri="{63B3BB69-23CF-44E3-9099-C40C66FF867C}">
                  <a14:compatExt spid="_x0000_s7240"/>
                </a:ext>
                <a:ext uri="{FF2B5EF4-FFF2-40B4-BE49-F238E27FC236}">
                  <a16:creationId xmlns:a16="http://schemas.microsoft.com/office/drawing/2014/main" id="{00000000-0008-0000-0700-00004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17</xdr:row>
          <xdr:rowOff>38100</xdr:rowOff>
        </xdr:from>
        <xdr:to>
          <xdr:col>2</xdr:col>
          <xdr:colOff>584200</xdr:colOff>
          <xdr:row>17</xdr:row>
          <xdr:rowOff>228600</xdr:rowOff>
        </xdr:to>
        <xdr:sp macro="" textlink="">
          <xdr:nvSpPr>
            <xdr:cNvPr id="7241" name="Check Box 73" hidden="1">
              <a:extLst>
                <a:ext uri="{63B3BB69-23CF-44E3-9099-C40C66FF867C}">
                  <a14:compatExt spid="_x0000_s7241"/>
                </a:ext>
                <a:ext uri="{FF2B5EF4-FFF2-40B4-BE49-F238E27FC236}">
                  <a16:creationId xmlns:a16="http://schemas.microsoft.com/office/drawing/2014/main" id="{00000000-0008-0000-0700-00004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18</xdr:row>
          <xdr:rowOff>38100</xdr:rowOff>
        </xdr:from>
        <xdr:to>
          <xdr:col>2</xdr:col>
          <xdr:colOff>584200</xdr:colOff>
          <xdr:row>18</xdr:row>
          <xdr:rowOff>228600</xdr:rowOff>
        </xdr:to>
        <xdr:sp macro="" textlink="">
          <xdr:nvSpPr>
            <xdr:cNvPr id="7242" name="Check Box 74" hidden="1">
              <a:extLst>
                <a:ext uri="{63B3BB69-23CF-44E3-9099-C40C66FF867C}">
                  <a14:compatExt spid="_x0000_s7242"/>
                </a:ext>
                <a:ext uri="{FF2B5EF4-FFF2-40B4-BE49-F238E27FC236}">
                  <a16:creationId xmlns:a16="http://schemas.microsoft.com/office/drawing/2014/main" id="{00000000-0008-0000-0700-00004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20</xdr:row>
          <xdr:rowOff>38100</xdr:rowOff>
        </xdr:from>
        <xdr:to>
          <xdr:col>2</xdr:col>
          <xdr:colOff>584200</xdr:colOff>
          <xdr:row>21</xdr:row>
          <xdr:rowOff>0</xdr:rowOff>
        </xdr:to>
        <xdr:sp macro="" textlink="">
          <xdr:nvSpPr>
            <xdr:cNvPr id="7243" name="Check Box 75" hidden="1">
              <a:extLst>
                <a:ext uri="{63B3BB69-23CF-44E3-9099-C40C66FF867C}">
                  <a14:compatExt spid="_x0000_s7243"/>
                </a:ext>
                <a:ext uri="{FF2B5EF4-FFF2-40B4-BE49-F238E27FC236}">
                  <a16:creationId xmlns:a16="http://schemas.microsoft.com/office/drawing/2014/main" id="{00000000-0008-0000-0700-00004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21</xdr:row>
          <xdr:rowOff>38100</xdr:rowOff>
        </xdr:from>
        <xdr:to>
          <xdr:col>2</xdr:col>
          <xdr:colOff>584200</xdr:colOff>
          <xdr:row>22</xdr:row>
          <xdr:rowOff>0</xdr:rowOff>
        </xdr:to>
        <xdr:sp macro="" textlink="">
          <xdr:nvSpPr>
            <xdr:cNvPr id="7244" name="Check Box 76" hidden="1">
              <a:extLst>
                <a:ext uri="{63B3BB69-23CF-44E3-9099-C40C66FF867C}">
                  <a14:compatExt spid="_x0000_s7244"/>
                </a:ext>
                <a:ext uri="{FF2B5EF4-FFF2-40B4-BE49-F238E27FC236}">
                  <a16:creationId xmlns:a16="http://schemas.microsoft.com/office/drawing/2014/main" id="{00000000-0008-0000-0700-00004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22</xdr:row>
          <xdr:rowOff>38100</xdr:rowOff>
        </xdr:from>
        <xdr:to>
          <xdr:col>2</xdr:col>
          <xdr:colOff>584200</xdr:colOff>
          <xdr:row>22</xdr:row>
          <xdr:rowOff>228600</xdr:rowOff>
        </xdr:to>
        <xdr:sp macro="" textlink="">
          <xdr:nvSpPr>
            <xdr:cNvPr id="7245" name="Check Box 77" hidden="1">
              <a:extLst>
                <a:ext uri="{63B3BB69-23CF-44E3-9099-C40C66FF867C}">
                  <a14:compatExt spid="_x0000_s7245"/>
                </a:ext>
                <a:ext uri="{FF2B5EF4-FFF2-40B4-BE49-F238E27FC236}">
                  <a16:creationId xmlns:a16="http://schemas.microsoft.com/office/drawing/2014/main" id="{00000000-0008-0000-0700-00004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23</xdr:row>
          <xdr:rowOff>38100</xdr:rowOff>
        </xdr:from>
        <xdr:to>
          <xdr:col>2</xdr:col>
          <xdr:colOff>584200</xdr:colOff>
          <xdr:row>23</xdr:row>
          <xdr:rowOff>228600</xdr:rowOff>
        </xdr:to>
        <xdr:sp macro="" textlink="">
          <xdr:nvSpPr>
            <xdr:cNvPr id="7246" name="Check Box 78" hidden="1">
              <a:extLst>
                <a:ext uri="{63B3BB69-23CF-44E3-9099-C40C66FF867C}">
                  <a14:compatExt spid="_x0000_s7246"/>
                </a:ext>
                <a:ext uri="{FF2B5EF4-FFF2-40B4-BE49-F238E27FC236}">
                  <a16:creationId xmlns:a16="http://schemas.microsoft.com/office/drawing/2014/main" id="{00000000-0008-0000-0700-00004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24</xdr:row>
          <xdr:rowOff>38100</xdr:rowOff>
        </xdr:from>
        <xdr:to>
          <xdr:col>2</xdr:col>
          <xdr:colOff>584200</xdr:colOff>
          <xdr:row>24</xdr:row>
          <xdr:rowOff>228600</xdr:rowOff>
        </xdr:to>
        <xdr:sp macro="" textlink="">
          <xdr:nvSpPr>
            <xdr:cNvPr id="7247" name="Check Box 79" hidden="1">
              <a:extLst>
                <a:ext uri="{63B3BB69-23CF-44E3-9099-C40C66FF867C}">
                  <a14:compatExt spid="_x0000_s7247"/>
                </a:ext>
                <a:ext uri="{FF2B5EF4-FFF2-40B4-BE49-F238E27FC236}">
                  <a16:creationId xmlns:a16="http://schemas.microsoft.com/office/drawing/2014/main" id="{00000000-0008-0000-0700-00004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25</xdr:row>
          <xdr:rowOff>38100</xdr:rowOff>
        </xdr:from>
        <xdr:to>
          <xdr:col>2</xdr:col>
          <xdr:colOff>584200</xdr:colOff>
          <xdr:row>25</xdr:row>
          <xdr:rowOff>228600</xdr:rowOff>
        </xdr:to>
        <xdr:sp macro="" textlink="">
          <xdr:nvSpPr>
            <xdr:cNvPr id="7248" name="Check Box 80" hidden="1">
              <a:extLst>
                <a:ext uri="{63B3BB69-23CF-44E3-9099-C40C66FF867C}">
                  <a14:compatExt spid="_x0000_s7248"/>
                </a:ext>
                <a:ext uri="{FF2B5EF4-FFF2-40B4-BE49-F238E27FC236}">
                  <a16:creationId xmlns:a16="http://schemas.microsoft.com/office/drawing/2014/main" id="{00000000-0008-0000-0700-00005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26</xdr:row>
          <xdr:rowOff>38100</xdr:rowOff>
        </xdr:from>
        <xdr:to>
          <xdr:col>2</xdr:col>
          <xdr:colOff>584200</xdr:colOff>
          <xdr:row>26</xdr:row>
          <xdr:rowOff>228600</xdr:rowOff>
        </xdr:to>
        <xdr:sp macro="" textlink="">
          <xdr:nvSpPr>
            <xdr:cNvPr id="7249" name="Check Box 81" hidden="1">
              <a:extLst>
                <a:ext uri="{63B3BB69-23CF-44E3-9099-C40C66FF867C}">
                  <a14:compatExt spid="_x0000_s7249"/>
                </a:ext>
                <a:ext uri="{FF2B5EF4-FFF2-40B4-BE49-F238E27FC236}">
                  <a16:creationId xmlns:a16="http://schemas.microsoft.com/office/drawing/2014/main" id="{00000000-0008-0000-0700-00005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27</xdr:row>
          <xdr:rowOff>38100</xdr:rowOff>
        </xdr:from>
        <xdr:to>
          <xdr:col>2</xdr:col>
          <xdr:colOff>584200</xdr:colOff>
          <xdr:row>27</xdr:row>
          <xdr:rowOff>228600</xdr:rowOff>
        </xdr:to>
        <xdr:sp macro="" textlink="">
          <xdr:nvSpPr>
            <xdr:cNvPr id="7250" name="Check Box 82" hidden="1">
              <a:extLst>
                <a:ext uri="{63B3BB69-23CF-44E3-9099-C40C66FF867C}">
                  <a14:compatExt spid="_x0000_s7250"/>
                </a:ext>
                <a:ext uri="{FF2B5EF4-FFF2-40B4-BE49-F238E27FC236}">
                  <a16:creationId xmlns:a16="http://schemas.microsoft.com/office/drawing/2014/main" id="{00000000-0008-0000-0700-00005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28</xdr:row>
          <xdr:rowOff>38100</xdr:rowOff>
        </xdr:from>
        <xdr:to>
          <xdr:col>2</xdr:col>
          <xdr:colOff>584200</xdr:colOff>
          <xdr:row>28</xdr:row>
          <xdr:rowOff>228600</xdr:rowOff>
        </xdr:to>
        <xdr:sp macro="" textlink="">
          <xdr:nvSpPr>
            <xdr:cNvPr id="7251" name="Check Box 83" hidden="1">
              <a:extLst>
                <a:ext uri="{63B3BB69-23CF-44E3-9099-C40C66FF867C}">
                  <a14:compatExt spid="_x0000_s7251"/>
                </a:ext>
                <a:ext uri="{FF2B5EF4-FFF2-40B4-BE49-F238E27FC236}">
                  <a16:creationId xmlns:a16="http://schemas.microsoft.com/office/drawing/2014/main" id="{00000000-0008-0000-0700-00005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30</xdr:row>
          <xdr:rowOff>38100</xdr:rowOff>
        </xdr:from>
        <xdr:to>
          <xdr:col>2</xdr:col>
          <xdr:colOff>584200</xdr:colOff>
          <xdr:row>30</xdr:row>
          <xdr:rowOff>228600</xdr:rowOff>
        </xdr:to>
        <xdr:sp macro="" textlink="">
          <xdr:nvSpPr>
            <xdr:cNvPr id="7252" name="Check Box 84" hidden="1">
              <a:extLst>
                <a:ext uri="{63B3BB69-23CF-44E3-9099-C40C66FF867C}">
                  <a14:compatExt spid="_x0000_s7252"/>
                </a:ext>
                <a:ext uri="{FF2B5EF4-FFF2-40B4-BE49-F238E27FC236}">
                  <a16:creationId xmlns:a16="http://schemas.microsoft.com/office/drawing/2014/main" id="{00000000-0008-0000-0700-00005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35</xdr:row>
          <xdr:rowOff>508000</xdr:rowOff>
        </xdr:from>
        <xdr:to>
          <xdr:col>2</xdr:col>
          <xdr:colOff>584200</xdr:colOff>
          <xdr:row>35</xdr:row>
          <xdr:rowOff>698500</xdr:rowOff>
        </xdr:to>
        <xdr:sp macro="" textlink="">
          <xdr:nvSpPr>
            <xdr:cNvPr id="7253" name="Check Box 85" hidden="1">
              <a:extLst>
                <a:ext uri="{63B3BB69-23CF-44E3-9099-C40C66FF867C}">
                  <a14:compatExt spid="_x0000_s7253"/>
                </a:ext>
                <a:ext uri="{FF2B5EF4-FFF2-40B4-BE49-F238E27FC236}">
                  <a16:creationId xmlns:a16="http://schemas.microsoft.com/office/drawing/2014/main" id="{00000000-0008-0000-0700-00005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36</xdr:row>
          <xdr:rowOff>571500</xdr:rowOff>
        </xdr:from>
        <xdr:to>
          <xdr:col>2</xdr:col>
          <xdr:colOff>584200</xdr:colOff>
          <xdr:row>36</xdr:row>
          <xdr:rowOff>762000</xdr:rowOff>
        </xdr:to>
        <xdr:sp macro="" textlink="">
          <xdr:nvSpPr>
            <xdr:cNvPr id="7254" name="Check Box 86" hidden="1">
              <a:extLst>
                <a:ext uri="{63B3BB69-23CF-44E3-9099-C40C66FF867C}">
                  <a14:compatExt spid="_x0000_s7254"/>
                </a:ext>
                <a:ext uri="{FF2B5EF4-FFF2-40B4-BE49-F238E27FC236}">
                  <a16:creationId xmlns:a16="http://schemas.microsoft.com/office/drawing/2014/main" id="{00000000-0008-0000-0700-00005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37</xdr:row>
          <xdr:rowOff>38100</xdr:rowOff>
        </xdr:from>
        <xdr:to>
          <xdr:col>2</xdr:col>
          <xdr:colOff>584200</xdr:colOff>
          <xdr:row>38</xdr:row>
          <xdr:rowOff>0</xdr:rowOff>
        </xdr:to>
        <xdr:sp macro="" textlink="">
          <xdr:nvSpPr>
            <xdr:cNvPr id="7255" name="Check Box 87" hidden="1">
              <a:extLst>
                <a:ext uri="{63B3BB69-23CF-44E3-9099-C40C66FF867C}">
                  <a14:compatExt spid="_x0000_s7255"/>
                </a:ext>
                <a:ext uri="{FF2B5EF4-FFF2-40B4-BE49-F238E27FC236}">
                  <a16:creationId xmlns:a16="http://schemas.microsoft.com/office/drawing/2014/main" id="{00000000-0008-0000-0700-00005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31</xdr:row>
          <xdr:rowOff>38100</xdr:rowOff>
        </xdr:from>
        <xdr:to>
          <xdr:col>2</xdr:col>
          <xdr:colOff>584200</xdr:colOff>
          <xdr:row>32</xdr:row>
          <xdr:rowOff>0</xdr:rowOff>
        </xdr:to>
        <xdr:sp macro="" textlink="">
          <xdr:nvSpPr>
            <xdr:cNvPr id="7256" name="Check Box 88" hidden="1">
              <a:extLst>
                <a:ext uri="{63B3BB69-23CF-44E3-9099-C40C66FF867C}">
                  <a14:compatExt spid="_x0000_s7256"/>
                </a:ext>
                <a:ext uri="{FF2B5EF4-FFF2-40B4-BE49-F238E27FC236}">
                  <a16:creationId xmlns:a16="http://schemas.microsoft.com/office/drawing/2014/main" id="{00000000-0008-0000-0700-00005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32</xdr:row>
          <xdr:rowOff>38100</xdr:rowOff>
        </xdr:from>
        <xdr:to>
          <xdr:col>2</xdr:col>
          <xdr:colOff>584200</xdr:colOff>
          <xdr:row>33</xdr:row>
          <xdr:rowOff>0</xdr:rowOff>
        </xdr:to>
        <xdr:sp macro="" textlink="">
          <xdr:nvSpPr>
            <xdr:cNvPr id="7257" name="Check Box 89" hidden="1">
              <a:extLst>
                <a:ext uri="{63B3BB69-23CF-44E3-9099-C40C66FF867C}">
                  <a14:compatExt spid="_x0000_s7257"/>
                </a:ext>
                <a:ext uri="{FF2B5EF4-FFF2-40B4-BE49-F238E27FC236}">
                  <a16:creationId xmlns:a16="http://schemas.microsoft.com/office/drawing/2014/main" id="{00000000-0008-0000-0700-00005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33</xdr:row>
          <xdr:rowOff>38100</xdr:rowOff>
        </xdr:from>
        <xdr:to>
          <xdr:col>2</xdr:col>
          <xdr:colOff>584200</xdr:colOff>
          <xdr:row>34</xdr:row>
          <xdr:rowOff>0</xdr:rowOff>
        </xdr:to>
        <xdr:sp macro="" textlink="">
          <xdr:nvSpPr>
            <xdr:cNvPr id="7258" name="Check Box 90" hidden="1">
              <a:extLst>
                <a:ext uri="{63B3BB69-23CF-44E3-9099-C40C66FF867C}">
                  <a14:compatExt spid="_x0000_s7258"/>
                </a:ext>
                <a:ext uri="{FF2B5EF4-FFF2-40B4-BE49-F238E27FC236}">
                  <a16:creationId xmlns:a16="http://schemas.microsoft.com/office/drawing/2014/main" id="{00000000-0008-0000-0700-00005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34</xdr:row>
          <xdr:rowOff>38100</xdr:rowOff>
        </xdr:from>
        <xdr:to>
          <xdr:col>2</xdr:col>
          <xdr:colOff>584200</xdr:colOff>
          <xdr:row>35</xdr:row>
          <xdr:rowOff>0</xdr:rowOff>
        </xdr:to>
        <xdr:sp macro="" textlink="">
          <xdr:nvSpPr>
            <xdr:cNvPr id="7259" name="Check Box 91" hidden="1">
              <a:extLst>
                <a:ext uri="{63B3BB69-23CF-44E3-9099-C40C66FF867C}">
                  <a14:compatExt spid="_x0000_s7259"/>
                </a:ext>
                <a:ext uri="{FF2B5EF4-FFF2-40B4-BE49-F238E27FC236}">
                  <a16:creationId xmlns:a16="http://schemas.microsoft.com/office/drawing/2014/main" id="{00000000-0008-0000-0700-00005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38</xdr:row>
          <xdr:rowOff>38100</xdr:rowOff>
        </xdr:from>
        <xdr:to>
          <xdr:col>2</xdr:col>
          <xdr:colOff>584200</xdr:colOff>
          <xdr:row>39</xdr:row>
          <xdr:rowOff>0</xdr:rowOff>
        </xdr:to>
        <xdr:sp macro="" textlink="">
          <xdr:nvSpPr>
            <xdr:cNvPr id="7260" name="Check Box 92" hidden="1">
              <a:extLst>
                <a:ext uri="{63B3BB69-23CF-44E3-9099-C40C66FF867C}">
                  <a14:compatExt spid="_x0000_s7260"/>
                </a:ext>
                <a:ext uri="{FF2B5EF4-FFF2-40B4-BE49-F238E27FC236}">
                  <a16:creationId xmlns:a16="http://schemas.microsoft.com/office/drawing/2014/main" id="{00000000-0008-0000-0700-00005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39</xdr:row>
          <xdr:rowOff>38100</xdr:rowOff>
        </xdr:from>
        <xdr:to>
          <xdr:col>2</xdr:col>
          <xdr:colOff>584200</xdr:colOff>
          <xdr:row>40</xdr:row>
          <xdr:rowOff>0</xdr:rowOff>
        </xdr:to>
        <xdr:sp macro="" textlink="">
          <xdr:nvSpPr>
            <xdr:cNvPr id="7261" name="Check Box 93" hidden="1">
              <a:extLst>
                <a:ext uri="{63B3BB69-23CF-44E3-9099-C40C66FF867C}">
                  <a14:compatExt spid="_x0000_s7261"/>
                </a:ext>
                <a:ext uri="{FF2B5EF4-FFF2-40B4-BE49-F238E27FC236}">
                  <a16:creationId xmlns:a16="http://schemas.microsoft.com/office/drawing/2014/main" id="{00000000-0008-0000-0700-00005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40</xdr:row>
          <xdr:rowOff>38100</xdr:rowOff>
        </xdr:from>
        <xdr:to>
          <xdr:col>2</xdr:col>
          <xdr:colOff>584200</xdr:colOff>
          <xdr:row>41</xdr:row>
          <xdr:rowOff>0</xdr:rowOff>
        </xdr:to>
        <xdr:sp macro="" textlink="">
          <xdr:nvSpPr>
            <xdr:cNvPr id="7262" name="Check Box 94" hidden="1">
              <a:extLst>
                <a:ext uri="{63B3BB69-23CF-44E3-9099-C40C66FF867C}">
                  <a14:compatExt spid="_x0000_s7262"/>
                </a:ext>
                <a:ext uri="{FF2B5EF4-FFF2-40B4-BE49-F238E27FC236}">
                  <a16:creationId xmlns:a16="http://schemas.microsoft.com/office/drawing/2014/main" id="{00000000-0008-0000-0700-00005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228600</xdr:colOff>
          <xdr:row>2</xdr:row>
          <xdr:rowOff>228600</xdr:rowOff>
        </xdr:from>
        <xdr:to>
          <xdr:col>2</xdr:col>
          <xdr:colOff>482600</xdr:colOff>
          <xdr:row>3</xdr:row>
          <xdr:rowOff>215900</xdr:rowOff>
        </xdr:to>
        <xdr:sp macro="" textlink="">
          <xdr:nvSpPr>
            <xdr:cNvPr id="15432" name="Check Box 72" hidden="1">
              <a:extLst>
                <a:ext uri="{63B3BB69-23CF-44E3-9099-C40C66FF867C}">
                  <a14:compatExt spid="_x0000_s15432"/>
                </a:ext>
                <a:ext uri="{FF2B5EF4-FFF2-40B4-BE49-F238E27FC236}">
                  <a16:creationId xmlns:a16="http://schemas.microsoft.com/office/drawing/2014/main" id="{00000000-0008-0000-0800-00004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xdr:row>
          <xdr:rowOff>0</xdr:rowOff>
        </xdr:from>
        <xdr:to>
          <xdr:col>2</xdr:col>
          <xdr:colOff>482600</xdr:colOff>
          <xdr:row>6</xdr:row>
          <xdr:rowOff>215900</xdr:rowOff>
        </xdr:to>
        <xdr:sp macro="" textlink="">
          <xdr:nvSpPr>
            <xdr:cNvPr id="15433" name="Check Box 73" hidden="1">
              <a:extLst>
                <a:ext uri="{63B3BB69-23CF-44E3-9099-C40C66FF867C}">
                  <a14:compatExt spid="_x0000_s15433"/>
                </a:ext>
                <a:ext uri="{FF2B5EF4-FFF2-40B4-BE49-F238E27FC236}">
                  <a16:creationId xmlns:a16="http://schemas.microsoft.com/office/drawing/2014/main" id="{00000000-0008-0000-0800-00004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7</xdr:row>
          <xdr:rowOff>0</xdr:rowOff>
        </xdr:from>
        <xdr:to>
          <xdr:col>2</xdr:col>
          <xdr:colOff>482600</xdr:colOff>
          <xdr:row>7</xdr:row>
          <xdr:rowOff>215900</xdr:rowOff>
        </xdr:to>
        <xdr:sp macro="" textlink="">
          <xdr:nvSpPr>
            <xdr:cNvPr id="15434" name="Check Box 74" hidden="1">
              <a:extLst>
                <a:ext uri="{63B3BB69-23CF-44E3-9099-C40C66FF867C}">
                  <a14:compatExt spid="_x0000_s15434"/>
                </a:ext>
                <a:ext uri="{FF2B5EF4-FFF2-40B4-BE49-F238E27FC236}">
                  <a16:creationId xmlns:a16="http://schemas.microsoft.com/office/drawing/2014/main" id="{00000000-0008-0000-0800-00004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8</xdr:row>
          <xdr:rowOff>0</xdr:rowOff>
        </xdr:from>
        <xdr:to>
          <xdr:col>2</xdr:col>
          <xdr:colOff>482600</xdr:colOff>
          <xdr:row>8</xdr:row>
          <xdr:rowOff>215900</xdr:rowOff>
        </xdr:to>
        <xdr:sp macro="" textlink="">
          <xdr:nvSpPr>
            <xdr:cNvPr id="15435" name="Check Box 75" hidden="1">
              <a:extLst>
                <a:ext uri="{63B3BB69-23CF-44E3-9099-C40C66FF867C}">
                  <a14:compatExt spid="_x0000_s15435"/>
                </a:ext>
                <a:ext uri="{FF2B5EF4-FFF2-40B4-BE49-F238E27FC236}">
                  <a16:creationId xmlns:a16="http://schemas.microsoft.com/office/drawing/2014/main" id="{00000000-0008-0000-0800-00004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12</xdr:row>
          <xdr:rowOff>101600</xdr:rowOff>
        </xdr:from>
        <xdr:to>
          <xdr:col>2</xdr:col>
          <xdr:colOff>482600</xdr:colOff>
          <xdr:row>12</xdr:row>
          <xdr:rowOff>317500</xdr:rowOff>
        </xdr:to>
        <xdr:sp macro="" textlink="">
          <xdr:nvSpPr>
            <xdr:cNvPr id="15436" name="Check Box 76" hidden="1">
              <a:extLst>
                <a:ext uri="{63B3BB69-23CF-44E3-9099-C40C66FF867C}">
                  <a14:compatExt spid="_x0000_s15436"/>
                </a:ext>
                <a:ext uri="{FF2B5EF4-FFF2-40B4-BE49-F238E27FC236}">
                  <a16:creationId xmlns:a16="http://schemas.microsoft.com/office/drawing/2014/main" id="{00000000-0008-0000-0800-00004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13</xdr:row>
          <xdr:rowOff>101600</xdr:rowOff>
        </xdr:from>
        <xdr:to>
          <xdr:col>2</xdr:col>
          <xdr:colOff>482600</xdr:colOff>
          <xdr:row>13</xdr:row>
          <xdr:rowOff>317500</xdr:rowOff>
        </xdr:to>
        <xdr:sp macro="" textlink="">
          <xdr:nvSpPr>
            <xdr:cNvPr id="15437" name="Check Box 77" hidden="1">
              <a:extLst>
                <a:ext uri="{63B3BB69-23CF-44E3-9099-C40C66FF867C}">
                  <a14:compatExt spid="_x0000_s15437"/>
                </a:ext>
                <a:ext uri="{FF2B5EF4-FFF2-40B4-BE49-F238E27FC236}">
                  <a16:creationId xmlns:a16="http://schemas.microsoft.com/office/drawing/2014/main" id="{00000000-0008-0000-0800-00004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14</xdr:row>
          <xdr:rowOff>0</xdr:rowOff>
        </xdr:from>
        <xdr:to>
          <xdr:col>2</xdr:col>
          <xdr:colOff>482600</xdr:colOff>
          <xdr:row>14</xdr:row>
          <xdr:rowOff>215900</xdr:rowOff>
        </xdr:to>
        <xdr:sp macro="" textlink="">
          <xdr:nvSpPr>
            <xdr:cNvPr id="15438" name="Check Box 78" hidden="1">
              <a:extLst>
                <a:ext uri="{63B3BB69-23CF-44E3-9099-C40C66FF867C}">
                  <a14:compatExt spid="_x0000_s15438"/>
                </a:ext>
                <a:ext uri="{FF2B5EF4-FFF2-40B4-BE49-F238E27FC236}">
                  <a16:creationId xmlns:a16="http://schemas.microsoft.com/office/drawing/2014/main" id="{00000000-0008-0000-0800-00004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15</xdr:row>
          <xdr:rowOff>101600</xdr:rowOff>
        </xdr:from>
        <xdr:to>
          <xdr:col>2</xdr:col>
          <xdr:colOff>482600</xdr:colOff>
          <xdr:row>15</xdr:row>
          <xdr:rowOff>317500</xdr:rowOff>
        </xdr:to>
        <xdr:sp macro="" textlink="">
          <xdr:nvSpPr>
            <xdr:cNvPr id="15439" name="Check Box 79" hidden="1">
              <a:extLst>
                <a:ext uri="{63B3BB69-23CF-44E3-9099-C40C66FF867C}">
                  <a14:compatExt spid="_x0000_s15439"/>
                </a:ext>
                <a:ext uri="{FF2B5EF4-FFF2-40B4-BE49-F238E27FC236}">
                  <a16:creationId xmlns:a16="http://schemas.microsoft.com/office/drawing/2014/main" id="{00000000-0008-0000-0800-00004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16</xdr:row>
          <xdr:rowOff>25400</xdr:rowOff>
        </xdr:from>
        <xdr:to>
          <xdr:col>2</xdr:col>
          <xdr:colOff>482600</xdr:colOff>
          <xdr:row>17</xdr:row>
          <xdr:rowOff>0</xdr:rowOff>
        </xdr:to>
        <xdr:sp macro="" textlink="">
          <xdr:nvSpPr>
            <xdr:cNvPr id="15440" name="Check Box 80" hidden="1">
              <a:extLst>
                <a:ext uri="{63B3BB69-23CF-44E3-9099-C40C66FF867C}">
                  <a14:compatExt spid="_x0000_s15440"/>
                </a:ext>
                <a:ext uri="{FF2B5EF4-FFF2-40B4-BE49-F238E27FC236}">
                  <a16:creationId xmlns:a16="http://schemas.microsoft.com/office/drawing/2014/main" id="{00000000-0008-0000-0800-00005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254000</xdr:colOff>
          <xdr:row>2</xdr:row>
          <xdr:rowOff>38100</xdr:rowOff>
        </xdr:from>
        <xdr:to>
          <xdr:col>2</xdr:col>
          <xdr:colOff>533400</xdr:colOff>
          <xdr:row>2</xdr:row>
          <xdr:rowOff>215900</xdr:rowOff>
        </xdr:to>
        <xdr:sp macro="" textlink="">
          <xdr:nvSpPr>
            <xdr:cNvPr id="16466" name="Check Box 82" hidden="1">
              <a:extLst>
                <a:ext uri="{63B3BB69-23CF-44E3-9099-C40C66FF867C}">
                  <a14:compatExt spid="_x0000_s16466"/>
                </a:ext>
                <a:ext uri="{FF2B5EF4-FFF2-40B4-BE49-F238E27FC236}">
                  <a16:creationId xmlns:a16="http://schemas.microsoft.com/office/drawing/2014/main" id="{00000000-0008-0000-0900-00005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7</xdr:row>
          <xdr:rowOff>38100</xdr:rowOff>
        </xdr:from>
        <xdr:to>
          <xdr:col>2</xdr:col>
          <xdr:colOff>533400</xdr:colOff>
          <xdr:row>7</xdr:row>
          <xdr:rowOff>215900</xdr:rowOff>
        </xdr:to>
        <xdr:sp macro="" textlink="">
          <xdr:nvSpPr>
            <xdr:cNvPr id="16467" name="Check Box 83" hidden="1">
              <a:extLst>
                <a:ext uri="{63B3BB69-23CF-44E3-9099-C40C66FF867C}">
                  <a14:compatExt spid="_x0000_s16467"/>
                </a:ext>
                <a:ext uri="{FF2B5EF4-FFF2-40B4-BE49-F238E27FC236}">
                  <a16:creationId xmlns:a16="http://schemas.microsoft.com/office/drawing/2014/main" id="{00000000-0008-0000-0900-00005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8</xdr:row>
          <xdr:rowOff>38100</xdr:rowOff>
        </xdr:from>
        <xdr:to>
          <xdr:col>2</xdr:col>
          <xdr:colOff>533400</xdr:colOff>
          <xdr:row>8</xdr:row>
          <xdr:rowOff>215900</xdr:rowOff>
        </xdr:to>
        <xdr:sp macro="" textlink="">
          <xdr:nvSpPr>
            <xdr:cNvPr id="16468" name="Check Box 84" hidden="1">
              <a:extLst>
                <a:ext uri="{63B3BB69-23CF-44E3-9099-C40C66FF867C}">
                  <a14:compatExt spid="_x0000_s16468"/>
                </a:ext>
                <a:ext uri="{FF2B5EF4-FFF2-40B4-BE49-F238E27FC236}">
                  <a16:creationId xmlns:a16="http://schemas.microsoft.com/office/drawing/2014/main" id="{00000000-0008-0000-0900-00005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10</xdr:row>
          <xdr:rowOff>38100</xdr:rowOff>
        </xdr:from>
        <xdr:to>
          <xdr:col>2</xdr:col>
          <xdr:colOff>533400</xdr:colOff>
          <xdr:row>10</xdr:row>
          <xdr:rowOff>215900</xdr:rowOff>
        </xdr:to>
        <xdr:sp macro="" textlink="">
          <xdr:nvSpPr>
            <xdr:cNvPr id="16469" name="Check Box 85" hidden="1">
              <a:extLst>
                <a:ext uri="{63B3BB69-23CF-44E3-9099-C40C66FF867C}">
                  <a14:compatExt spid="_x0000_s16469"/>
                </a:ext>
                <a:ext uri="{FF2B5EF4-FFF2-40B4-BE49-F238E27FC236}">
                  <a16:creationId xmlns:a16="http://schemas.microsoft.com/office/drawing/2014/main" id="{00000000-0008-0000-0900-00005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11</xdr:row>
          <xdr:rowOff>38100</xdr:rowOff>
        </xdr:from>
        <xdr:to>
          <xdr:col>2</xdr:col>
          <xdr:colOff>533400</xdr:colOff>
          <xdr:row>11</xdr:row>
          <xdr:rowOff>215900</xdr:rowOff>
        </xdr:to>
        <xdr:sp macro="" textlink="">
          <xdr:nvSpPr>
            <xdr:cNvPr id="16470" name="Check Box 86" hidden="1">
              <a:extLst>
                <a:ext uri="{63B3BB69-23CF-44E3-9099-C40C66FF867C}">
                  <a14:compatExt spid="_x0000_s16470"/>
                </a:ext>
                <a:ext uri="{FF2B5EF4-FFF2-40B4-BE49-F238E27FC236}">
                  <a16:creationId xmlns:a16="http://schemas.microsoft.com/office/drawing/2014/main" id="{00000000-0008-0000-0900-00005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13</xdr:row>
          <xdr:rowOff>38100</xdr:rowOff>
        </xdr:from>
        <xdr:to>
          <xdr:col>2</xdr:col>
          <xdr:colOff>533400</xdr:colOff>
          <xdr:row>13</xdr:row>
          <xdr:rowOff>215900</xdr:rowOff>
        </xdr:to>
        <xdr:sp macro="" textlink="">
          <xdr:nvSpPr>
            <xdr:cNvPr id="16471" name="Check Box 87" hidden="1">
              <a:extLst>
                <a:ext uri="{63B3BB69-23CF-44E3-9099-C40C66FF867C}">
                  <a14:compatExt spid="_x0000_s16471"/>
                </a:ext>
                <a:ext uri="{FF2B5EF4-FFF2-40B4-BE49-F238E27FC236}">
                  <a16:creationId xmlns:a16="http://schemas.microsoft.com/office/drawing/2014/main" id="{00000000-0008-0000-0900-00005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16</xdr:row>
          <xdr:rowOff>38100</xdr:rowOff>
        </xdr:from>
        <xdr:to>
          <xdr:col>2</xdr:col>
          <xdr:colOff>533400</xdr:colOff>
          <xdr:row>16</xdr:row>
          <xdr:rowOff>215900</xdr:rowOff>
        </xdr:to>
        <xdr:sp macro="" textlink="">
          <xdr:nvSpPr>
            <xdr:cNvPr id="16472" name="Check Box 88" hidden="1">
              <a:extLst>
                <a:ext uri="{63B3BB69-23CF-44E3-9099-C40C66FF867C}">
                  <a14:compatExt spid="_x0000_s16472"/>
                </a:ext>
                <a:ext uri="{FF2B5EF4-FFF2-40B4-BE49-F238E27FC236}">
                  <a16:creationId xmlns:a16="http://schemas.microsoft.com/office/drawing/2014/main" id="{00000000-0008-0000-0900-00005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317500</xdr:colOff>
          <xdr:row>2</xdr:row>
          <xdr:rowOff>25400</xdr:rowOff>
        </xdr:from>
        <xdr:to>
          <xdr:col>2</xdr:col>
          <xdr:colOff>584200</xdr:colOff>
          <xdr:row>2</xdr:row>
          <xdr:rowOff>190500</xdr:rowOff>
        </xdr:to>
        <xdr:sp macro="" textlink="">
          <xdr:nvSpPr>
            <xdr:cNvPr id="18458" name="Check Box 26" hidden="1">
              <a:extLst>
                <a:ext uri="{63B3BB69-23CF-44E3-9099-C40C66FF867C}">
                  <a14:compatExt spid="_x0000_s18458"/>
                </a:ext>
                <a:ext uri="{FF2B5EF4-FFF2-40B4-BE49-F238E27FC236}">
                  <a16:creationId xmlns:a16="http://schemas.microsoft.com/office/drawing/2014/main" id="{00000000-0008-0000-0A00-00001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3</xdr:row>
          <xdr:rowOff>25400</xdr:rowOff>
        </xdr:from>
        <xdr:to>
          <xdr:col>2</xdr:col>
          <xdr:colOff>584200</xdr:colOff>
          <xdr:row>3</xdr:row>
          <xdr:rowOff>190500</xdr:rowOff>
        </xdr:to>
        <xdr:sp macro="" textlink="">
          <xdr:nvSpPr>
            <xdr:cNvPr id="18459" name="Check Box 27" hidden="1">
              <a:extLst>
                <a:ext uri="{63B3BB69-23CF-44E3-9099-C40C66FF867C}">
                  <a14:compatExt spid="_x0000_s18459"/>
                </a:ext>
                <a:ext uri="{FF2B5EF4-FFF2-40B4-BE49-F238E27FC236}">
                  <a16:creationId xmlns:a16="http://schemas.microsoft.com/office/drawing/2014/main" id="{00000000-0008-0000-0A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4</xdr:row>
          <xdr:rowOff>25400</xdr:rowOff>
        </xdr:from>
        <xdr:to>
          <xdr:col>2</xdr:col>
          <xdr:colOff>584200</xdr:colOff>
          <xdr:row>4</xdr:row>
          <xdr:rowOff>190500</xdr:rowOff>
        </xdr:to>
        <xdr:sp macro="" textlink="">
          <xdr:nvSpPr>
            <xdr:cNvPr id="18460" name="Check Box 28" hidden="1">
              <a:extLst>
                <a:ext uri="{63B3BB69-23CF-44E3-9099-C40C66FF867C}">
                  <a14:compatExt spid="_x0000_s18460"/>
                </a:ext>
                <a:ext uri="{FF2B5EF4-FFF2-40B4-BE49-F238E27FC236}">
                  <a16:creationId xmlns:a16="http://schemas.microsoft.com/office/drawing/2014/main" id="{00000000-0008-0000-0A00-00001C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6</xdr:row>
          <xdr:rowOff>25400</xdr:rowOff>
        </xdr:from>
        <xdr:to>
          <xdr:col>2</xdr:col>
          <xdr:colOff>584200</xdr:colOff>
          <xdr:row>6</xdr:row>
          <xdr:rowOff>190500</xdr:rowOff>
        </xdr:to>
        <xdr:sp macro="" textlink="">
          <xdr:nvSpPr>
            <xdr:cNvPr id="18461" name="Check Box 29" hidden="1">
              <a:extLst>
                <a:ext uri="{63B3BB69-23CF-44E3-9099-C40C66FF867C}">
                  <a14:compatExt spid="_x0000_s18461"/>
                </a:ext>
                <a:ext uri="{FF2B5EF4-FFF2-40B4-BE49-F238E27FC236}">
                  <a16:creationId xmlns:a16="http://schemas.microsoft.com/office/drawing/2014/main" id="{00000000-0008-0000-0A00-00001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7</xdr:row>
          <xdr:rowOff>25400</xdr:rowOff>
        </xdr:from>
        <xdr:to>
          <xdr:col>2</xdr:col>
          <xdr:colOff>584200</xdr:colOff>
          <xdr:row>7</xdr:row>
          <xdr:rowOff>190500</xdr:rowOff>
        </xdr:to>
        <xdr:sp macro="" textlink="">
          <xdr:nvSpPr>
            <xdr:cNvPr id="18462" name="Check Box 30" hidden="1">
              <a:extLst>
                <a:ext uri="{63B3BB69-23CF-44E3-9099-C40C66FF867C}">
                  <a14:compatExt spid="_x0000_s18462"/>
                </a:ext>
                <a:ext uri="{FF2B5EF4-FFF2-40B4-BE49-F238E27FC236}">
                  <a16:creationId xmlns:a16="http://schemas.microsoft.com/office/drawing/2014/main" id="{00000000-0008-0000-0A00-00001E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254000</xdr:colOff>
          <xdr:row>2</xdr:row>
          <xdr:rowOff>25400</xdr:rowOff>
        </xdr:from>
        <xdr:to>
          <xdr:col>2</xdr:col>
          <xdr:colOff>673100</xdr:colOff>
          <xdr:row>2</xdr:row>
          <xdr:rowOff>215900</xdr:rowOff>
        </xdr:to>
        <xdr:sp macro="" textlink="">
          <xdr:nvSpPr>
            <xdr:cNvPr id="19494" name="Check Box 38" hidden="1">
              <a:extLst>
                <a:ext uri="{63B3BB69-23CF-44E3-9099-C40C66FF867C}">
                  <a14:compatExt spid="_x0000_s19494"/>
                </a:ext>
                <a:ext uri="{FF2B5EF4-FFF2-40B4-BE49-F238E27FC236}">
                  <a16:creationId xmlns:a16="http://schemas.microsoft.com/office/drawing/2014/main" id="{00000000-0008-0000-0B00-00002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3</xdr:row>
          <xdr:rowOff>25400</xdr:rowOff>
        </xdr:from>
        <xdr:to>
          <xdr:col>2</xdr:col>
          <xdr:colOff>673100</xdr:colOff>
          <xdr:row>3</xdr:row>
          <xdr:rowOff>215900</xdr:rowOff>
        </xdr:to>
        <xdr:sp macro="" textlink="">
          <xdr:nvSpPr>
            <xdr:cNvPr id="19495" name="Check Box 39" hidden="1">
              <a:extLst>
                <a:ext uri="{63B3BB69-23CF-44E3-9099-C40C66FF867C}">
                  <a14:compatExt spid="_x0000_s19495"/>
                </a:ext>
                <a:ext uri="{FF2B5EF4-FFF2-40B4-BE49-F238E27FC236}">
                  <a16:creationId xmlns:a16="http://schemas.microsoft.com/office/drawing/2014/main" id="{00000000-0008-0000-0B00-00002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4</xdr:row>
          <xdr:rowOff>25400</xdr:rowOff>
        </xdr:from>
        <xdr:to>
          <xdr:col>2</xdr:col>
          <xdr:colOff>673100</xdr:colOff>
          <xdr:row>4</xdr:row>
          <xdr:rowOff>215900</xdr:rowOff>
        </xdr:to>
        <xdr:sp macro="" textlink="">
          <xdr:nvSpPr>
            <xdr:cNvPr id="19496" name="Check Box 40" hidden="1">
              <a:extLst>
                <a:ext uri="{63B3BB69-23CF-44E3-9099-C40C66FF867C}">
                  <a14:compatExt spid="_x0000_s19496"/>
                </a:ext>
                <a:ext uri="{FF2B5EF4-FFF2-40B4-BE49-F238E27FC236}">
                  <a16:creationId xmlns:a16="http://schemas.microsoft.com/office/drawing/2014/main" id="{00000000-0008-0000-0B00-00002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5</xdr:row>
          <xdr:rowOff>25400</xdr:rowOff>
        </xdr:from>
        <xdr:to>
          <xdr:col>2</xdr:col>
          <xdr:colOff>673100</xdr:colOff>
          <xdr:row>5</xdr:row>
          <xdr:rowOff>215900</xdr:rowOff>
        </xdr:to>
        <xdr:sp macro="" textlink="">
          <xdr:nvSpPr>
            <xdr:cNvPr id="19497" name="Check Box 41" hidden="1">
              <a:extLst>
                <a:ext uri="{63B3BB69-23CF-44E3-9099-C40C66FF867C}">
                  <a14:compatExt spid="_x0000_s19497"/>
                </a:ext>
                <a:ext uri="{FF2B5EF4-FFF2-40B4-BE49-F238E27FC236}">
                  <a16:creationId xmlns:a16="http://schemas.microsoft.com/office/drawing/2014/main" id="{00000000-0008-0000-0B00-00002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6</xdr:row>
          <xdr:rowOff>25400</xdr:rowOff>
        </xdr:from>
        <xdr:to>
          <xdr:col>2</xdr:col>
          <xdr:colOff>673100</xdr:colOff>
          <xdr:row>6</xdr:row>
          <xdr:rowOff>215900</xdr:rowOff>
        </xdr:to>
        <xdr:sp macro="" textlink="">
          <xdr:nvSpPr>
            <xdr:cNvPr id="19498" name="Check Box 42" hidden="1">
              <a:extLst>
                <a:ext uri="{63B3BB69-23CF-44E3-9099-C40C66FF867C}">
                  <a14:compatExt spid="_x0000_s19498"/>
                </a:ext>
                <a:ext uri="{FF2B5EF4-FFF2-40B4-BE49-F238E27FC236}">
                  <a16:creationId xmlns:a16="http://schemas.microsoft.com/office/drawing/2014/main" id="{00000000-0008-0000-0B00-00002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9</xdr:row>
          <xdr:rowOff>0</xdr:rowOff>
        </xdr:from>
        <xdr:to>
          <xdr:col>2</xdr:col>
          <xdr:colOff>698500</xdr:colOff>
          <xdr:row>9</xdr:row>
          <xdr:rowOff>190500</xdr:rowOff>
        </xdr:to>
        <xdr:sp macro="" textlink="">
          <xdr:nvSpPr>
            <xdr:cNvPr id="19499" name="Check Box 43" hidden="1">
              <a:extLst>
                <a:ext uri="{63B3BB69-23CF-44E3-9099-C40C66FF867C}">
                  <a14:compatExt spid="_x0000_s19499"/>
                </a:ext>
                <a:ext uri="{FF2B5EF4-FFF2-40B4-BE49-F238E27FC236}">
                  <a16:creationId xmlns:a16="http://schemas.microsoft.com/office/drawing/2014/main" id="{00000000-0008-0000-0B00-00002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330200</xdr:colOff>
          <xdr:row>2</xdr:row>
          <xdr:rowOff>63500</xdr:rowOff>
        </xdr:from>
        <xdr:to>
          <xdr:col>2</xdr:col>
          <xdr:colOff>571500</xdr:colOff>
          <xdr:row>2</xdr:row>
          <xdr:rowOff>228600</xdr:rowOff>
        </xdr:to>
        <xdr:sp macro="" textlink="">
          <xdr:nvSpPr>
            <xdr:cNvPr id="20592" name="Check Box 112" hidden="1">
              <a:extLst>
                <a:ext uri="{63B3BB69-23CF-44E3-9099-C40C66FF867C}">
                  <a14:compatExt spid="_x0000_s20592"/>
                </a:ext>
                <a:ext uri="{FF2B5EF4-FFF2-40B4-BE49-F238E27FC236}">
                  <a16:creationId xmlns:a16="http://schemas.microsoft.com/office/drawing/2014/main" id="{00000000-0008-0000-0C00-00007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3</xdr:row>
          <xdr:rowOff>63500</xdr:rowOff>
        </xdr:from>
        <xdr:to>
          <xdr:col>2</xdr:col>
          <xdr:colOff>571500</xdr:colOff>
          <xdr:row>3</xdr:row>
          <xdr:rowOff>228600</xdr:rowOff>
        </xdr:to>
        <xdr:sp macro="" textlink="">
          <xdr:nvSpPr>
            <xdr:cNvPr id="20593" name="Check Box 113" hidden="1">
              <a:extLst>
                <a:ext uri="{63B3BB69-23CF-44E3-9099-C40C66FF867C}">
                  <a14:compatExt spid="_x0000_s20593"/>
                </a:ext>
                <a:ext uri="{FF2B5EF4-FFF2-40B4-BE49-F238E27FC236}">
                  <a16:creationId xmlns:a16="http://schemas.microsoft.com/office/drawing/2014/main" id="{00000000-0008-0000-0C00-00007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9</xdr:row>
          <xdr:rowOff>63500</xdr:rowOff>
        </xdr:from>
        <xdr:to>
          <xdr:col>2</xdr:col>
          <xdr:colOff>571500</xdr:colOff>
          <xdr:row>10</xdr:row>
          <xdr:rowOff>0</xdr:rowOff>
        </xdr:to>
        <xdr:sp macro="" textlink="">
          <xdr:nvSpPr>
            <xdr:cNvPr id="20594" name="Check Box 114" hidden="1">
              <a:extLst>
                <a:ext uri="{63B3BB69-23CF-44E3-9099-C40C66FF867C}">
                  <a14:compatExt spid="_x0000_s20594"/>
                </a:ext>
                <a:ext uri="{FF2B5EF4-FFF2-40B4-BE49-F238E27FC236}">
                  <a16:creationId xmlns:a16="http://schemas.microsoft.com/office/drawing/2014/main" id="{00000000-0008-0000-0C00-00007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10</xdr:row>
          <xdr:rowOff>63500</xdr:rowOff>
        </xdr:from>
        <xdr:to>
          <xdr:col>2</xdr:col>
          <xdr:colOff>571500</xdr:colOff>
          <xdr:row>11</xdr:row>
          <xdr:rowOff>0</xdr:rowOff>
        </xdr:to>
        <xdr:sp macro="" textlink="">
          <xdr:nvSpPr>
            <xdr:cNvPr id="20595" name="Check Box 115" hidden="1">
              <a:extLst>
                <a:ext uri="{63B3BB69-23CF-44E3-9099-C40C66FF867C}">
                  <a14:compatExt spid="_x0000_s20595"/>
                </a:ext>
                <a:ext uri="{FF2B5EF4-FFF2-40B4-BE49-F238E27FC236}">
                  <a16:creationId xmlns:a16="http://schemas.microsoft.com/office/drawing/2014/main" id="{00000000-0008-0000-0C00-00007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11</xdr:row>
          <xdr:rowOff>63500</xdr:rowOff>
        </xdr:from>
        <xdr:to>
          <xdr:col>2</xdr:col>
          <xdr:colOff>571500</xdr:colOff>
          <xdr:row>12</xdr:row>
          <xdr:rowOff>0</xdr:rowOff>
        </xdr:to>
        <xdr:sp macro="" textlink="">
          <xdr:nvSpPr>
            <xdr:cNvPr id="20596" name="Check Box 116" hidden="1">
              <a:extLst>
                <a:ext uri="{63B3BB69-23CF-44E3-9099-C40C66FF867C}">
                  <a14:compatExt spid="_x0000_s20596"/>
                </a:ext>
                <a:ext uri="{FF2B5EF4-FFF2-40B4-BE49-F238E27FC236}">
                  <a16:creationId xmlns:a16="http://schemas.microsoft.com/office/drawing/2014/main" id="{00000000-0008-0000-0C00-00007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13</xdr:row>
          <xdr:rowOff>63500</xdr:rowOff>
        </xdr:from>
        <xdr:to>
          <xdr:col>2</xdr:col>
          <xdr:colOff>571500</xdr:colOff>
          <xdr:row>14</xdr:row>
          <xdr:rowOff>0</xdr:rowOff>
        </xdr:to>
        <xdr:sp macro="" textlink="">
          <xdr:nvSpPr>
            <xdr:cNvPr id="20597" name="Check Box 117" hidden="1">
              <a:extLst>
                <a:ext uri="{63B3BB69-23CF-44E3-9099-C40C66FF867C}">
                  <a14:compatExt spid="_x0000_s20597"/>
                </a:ext>
                <a:ext uri="{FF2B5EF4-FFF2-40B4-BE49-F238E27FC236}">
                  <a16:creationId xmlns:a16="http://schemas.microsoft.com/office/drawing/2014/main" id="{00000000-0008-0000-0C00-00007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17</xdr:row>
          <xdr:rowOff>63500</xdr:rowOff>
        </xdr:from>
        <xdr:to>
          <xdr:col>2</xdr:col>
          <xdr:colOff>571500</xdr:colOff>
          <xdr:row>18</xdr:row>
          <xdr:rowOff>0</xdr:rowOff>
        </xdr:to>
        <xdr:sp macro="" textlink="">
          <xdr:nvSpPr>
            <xdr:cNvPr id="20598" name="Check Box 118" hidden="1">
              <a:extLst>
                <a:ext uri="{63B3BB69-23CF-44E3-9099-C40C66FF867C}">
                  <a14:compatExt spid="_x0000_s20598"/>
                </a:ext>
                <a:ext uri="{FF2B5EF4-FFF2-40B4-BE49-F238E27FC236}">
                  <a16:creationId xmlns:a16="http://schemas.microsoft.com/office/drawing/2014/main" id="{00000000-0008-0000-0C00-00007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2</xdr:row>
          <xdr:rowOff>50800</xdr:rowOff>
        </xdr:from>
        <xdr:to>
          <xdr:col>2</xdr:col>
          <xdr:colOff>546100</xdr:colOff>
          <xdr:row>2</xdr:row>
          <xdr:rowOff>203200</xdr:rowOff>
        </xdr:to>
        <xdr:sp macro="" textlink="">
          <xdr:nvSpPr>
            <xdr:cNvPr id="21554" name="Check Box 50" hidden="1">
              <a:extLst>
                <a:ext uri="{63B3BB69-23CF-44E3-9099-C40C66FF867C}">
                  <a14:compatExt spid="_x0000_s21554"/>
                </a:ext>
                <a:ext uri="{FF2B5EF4-FFF2-40B4-BE49-F238E27FC236}">
                  <a16:creationId xmlns:a16="http://schemas.microsoft.com/office/drawing/2014/main" id="{00000000-0008-0000-0D00-00003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7</xdr:row>
          <xdr:rowOff>50800</xdr:rowOff>
        </xdr:from>
        <xdr:to>
          <xdr:col>2</xdr:col>
          <xdr:colOff>546100</xdr:colOff>
          <xdr:row>7</xdr:row>
          <xdr:rowOff>203200</xdr:rowOff>
        </xdr:to>
        <xdr:sp macro="" textlink="">
          <xdr:nvSpPr>
            <xdr:cNvPr id="21555" name="Check Box 51" hidden="1">
              <a:extLst>
                <a:ext uri="{63B3BB69-23CF-44E3-9099-C40C66FF867C}">
                  <a14:compatExt spid="_x0000_s21555"/>
                </a:ext>
                <a:ext uri="{FF2B5EF4-FFF2-40B4-BE49-F238E27FC236}">
                  <a16:creationId xmlns:a16="http://schemas.microsoft.com/office/drawing/2014/main" id="{00000000-0008-0000-0D00-00003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8</xdr:row>
          <xdr:rowOff>50800</xdr:rowOff>
        </xdr:from>
        <xdr:to>
          <xdr:col>2</xdr:col>
          <xdr:colOff>546100</xdr:colOff>
          <xdr:row>8</xdr:row>
          <xdr:rowOff>203200</xdr:rowOff>
        </xdr:to>
        <xdr:sp macro="" textlink="">
          <xdr:nvSpPr>
            <xdr:cNvPr id="21556" name="Check Box 52" hidden="1">
              <a:extLst>
                <a:ext uri="{63B3BB69-23CF-44E3-9099-C40C66FF867C}">
                  <a14:compatExt spid="_x0000_s21556"/>
                </a:ext>
                <a:ext uri="{FF2B5EF4-FFF2-40B4-BE49-F238E27FC236}">
                  <a16:creationId xmlns:a16="http://schemas.microsoft.com/office/drawing/2014/main" id="{00000000-0008-0000-0D00-00003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9</xdr:row>
          <xdr:rowOff>50800</xdr:rowOff>
        </xdr:from>
        <xdr:to>
          <xdr:col>2</xdr:col>
          <xdr:colOff>546100</xdr:colOff>
          <xdr:row>9</xdr:row>
          <xdr:rowOff>203200</xdr:rowOff>
        </xdr:to>
        <xdr:sp macro="" textlink="">
          <xdr:nvSpPr>
            <xdr:cNvPr id="21557" name="Check Box 53" hidden="1">
              <a:extLst>
                <a:ext uri="{63B3BB69-23CF-44E3-9099-C40C66FF867C}">
                  <a14:compatExt spid="_x0000_s21557"/>
                </a:ext>
                <a:ext uri="{FF2B5EF4-FFF2-40B4-BE49-F238E27FC236}">
                  <a16:creationId xmlns:a16="http://schemas.microsoft.com/office/drawing/2014/main" id="{00000000-0008-0000-0D00-00003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10</xdr:row>
          <xdr:rowOff>165100</xdr:rowOff>
        </xdr:from>
        <xdr:to>
          <xdr:col>2</xdr:col>
          <xdr:colOff>546100</xdr:colOff>
          <xdr:row>10</xdr:row>
          <xdr:rowOff>317500</xdr:rowOff>
        </xdr:to>
        <xdr:sp macro="" textlink="">
          <xdr:nvSpPr>
            <xdr:cNvPr id="21558" name="Check Box 54" hidden="1">
              <a:extLst>
                <a:ext uri="{63B3BB69-23CF-44E3-9099-C40C66FF867C}">
                  <a14:compatExt spid="_x0000_s21558"/>
                </a:ext>
                <a:ext uri="{FF2B5EF4-FFF2-40B4-BE49-F238E27FC236}">
                  <a16:creationId xmlns:a16="http://schemas.microsoft.com/office/drawing/2014/main" id="{00000000-0008-0000-0D00-00003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11</xdr:row>
          <xdr:rowOff>50800</xdr:rowOff>
        </xdr:from>
        <xdr:to>
          <xdr:col>2</xdr:col>
          <xdr:colOff>546100</xdr:colOff>
          <xdr:row>11</xdr:row>
          <xdr:rowOff>203200</xdr:rowOff>
        </xdr:to>
        <xdr:sp macro="" textlink="">
          <xdr:nvSpPr>
            <xdr:cNvPr id="21559" name="Check Box 55" hidden="1">
              <a:extLst>
                <a:ext uri="{63B3BB69-23CF-44E3-9099-C40C66FF867C}">
                  <a14:compatExt spid="_x0000_s21559"/>
                </a:ext>
                <a:ext uri="{FF2B5EF4-FFF2-40B4-BE49-F238E27FC236}">
                  <a16:creationId xmlns:a16="http://schemas.microsoft.com/office/drawing/2014/main" id="{00000000-0008-0000-0D00-00003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12</xdr:row>
          <xdr:rowOff>50800</xdr:rowOff>
        </xdr:from>
        <xdr:to>
          <xdr:col>2</xdr:col>
          <xdr:colOff>546100</xdr:colOff>
          <xdr:row>12</xdr:row>
          <xdr:rowOff>203200</xdr:rowOff>
        </xdr:to>
        <xdr:sp macro="" textlink="">
          <xdr:nvSpPr>
            <xdr:cNvPr id="21560" name="Check Box 56" hidden="1">
              <a:extLst>
                <a:ext uri="{63B3BB69-23CF-44E3-9099-C40C66FF867C}">
                  <a14:compatExt spid="_x0000_s21560"/>
                </a:ext>
                <a:ext uri="{FF2B5EF4-FFF2-40B4-BE49-F238E27FC236}">
                  <a16:creationId xmlns:a16="http://schemas.microsoft.com/office/drawing/2014/main" id="{00000000-0008-0000-0D00-00003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292100</xdr:colOff>
          <xdr:row>2</xdr:row>
          <xdr:rowOff>38100</xdr:rowOff>
        </xdr:from>
        <xdr:to>
          <xdr:col>2</xdr:col>
          <xdr:colOff>571500</xdr:colOff>
          <xdr:row>2</xdr:row>
          <xdr:rowOff>203200</xdr:rowOff>
        </xdr:to>
        <xdr:sp macro="" textlink="">
          <xdr:nvSpPr>
            <xdr:cNvPr id="22603" name="Check Box 75" hidden="1">
              <a:extLst>
                <a:ext uri="{63B3BB69-23CF-44E3-9099-C40C66FF867C}">
                  <a14:compatExt spid="_x0000_s22603"/>
                </a:ext>
                <a:ext uri="{FF2B5EF4-FFF2-40B4-BE49-F238E27FC236}">
                  <a16:creationId xmlns:a16="http://schemas.microsoft.com/office/drawing/2014/main" id="{00000000-0008-0000-0E00-00004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xdr:row>
          <xdr:rowOff>38100</xdr:rowOff>
        </xdr:from>
        <xdr:to>
          <xdr:col>2</xdr:col>
          <xdr:colOff>571500</xdr:colOff>
          <xdr:row>4</xdr:row>
          <xdr:rowOff>203200</xdr:rowOff>
        </xdr:to>
        <xdr:sp macro="" textlink="">
          <xdr:nvSpPr>
            <xdr:cNvPr id="22604" name="Check Box 76" hidden="1">
              <a:extLst>
                <a:ext uri="{63B3BB69-23CF-44E3-9099-C40C66FF867C}">
                  <a14:compatExt spid="_x0000_s22604"/>
                </a:ext>
                <a:ext uri="{FF2B5EF4-FFF2-40B4-BE49-F238E27FC236}">
                  <a16:creationId xmlns:a16="http://schemas.microsoft.com/office/drawing/2014/main" id="{00000000-0008-0000-0E00-00004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5</xdr:row>
          <xdr:rowOff>38100</xdr:rowOff>
        </xdr:from>
        <xdr:to>
          <xdr:col>2</xdr:col>
          <xdr:colOff>571500</xdr:colOff>
          <xdr:row>6</xdr:row>
          <xdr:rowOff>0</xdr:rowOff>
        </xdr:to>
        <xdr:sp macro="" textlink="">
          <xdr:nvSpPr>
            <xdr:cNvPr id="22605" name="Check Box 77" hidden="1">
              <a:extLst>
                <a:ext uri="{63B3BB69-23CF-44E3-9099-C40C66FF867C}">
                  <a14:compatExt spid="_x0000_s22605"/>
                </a:ext>
                <a:ext uri="{FF2B5EF4-FFF2-40B4-BE49-F238E27FC236}">
                  <a16:creationId xmlns:a16="http://schemas.microsoft.com/office/drawing/2014/main" id="{00000000-0008-0000-0E00-00004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7</xdr:row>
          <xdr:rowOff>152400</xdr:rowOff>
        </xdr:from>
        <xdr:to>
          <xdr:col>2</xdr:col>
          <xdr:colOff>571500</xdr:colOff>
          <xdr:row>7</xdr:row>
          <xdr:rowOff>317500</xdr:rowOff>
        </xdr:to>
        <xdr:sp macro="" textlink="">
          <xdr:nvSpPr>
            <xdr:cNvPr id="22606" name="Check Box 78" hidden="1">
              <a:extLst>
                <a:ext uri="{63B3BB69-23CF-44E3-9099-C40C66FF867C}">
                  <a14:compatExt spid="_x0000_s22606"/>
                </a:ext>
                <a:ext uri="{FF2B5EF4-FFF2-40B4-BE49-F238E27FC236}">
                  <a16:creationId xmlns:a16="http://schemas.microsoft.com/office/drawing/2014/main" id="{00000000-0008-0000-0E00-00004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9</xdr:row>
          <xdr:rowOff>152400</xdr:rowOff>
        </xdr:from>
        <xdr:to>
          <xdr:col>2</xdr:col>
          <xdr:colOff>571500</xdr:colOff>
          <xdr:row>9</xdr:row>
          <xdr:rowOff>317500</xdr:rowOff>
        </xdr:to>
        <xdr:sp macro="" textlink="">
          <xdr:nvSpPr>
            <xdr:cNvPr id="22607" name="Check Box 79" hidden="1">
              <a:extLst>
                <a:ext uri="{63B3BB69-23CF-44E3-9099-C40C66FF867C}">
                  <a14:compatExt spid="_x0000_s22607"/>
                </a:ext>
                <a:ext uri="{FF2B5EF4-FFF2-40B4-BE49-F238E27FC236}">
                  <a16:creationId xmlns:a16="http://schemas.microsoft.com/office/drawing/2014/main" id="{00000000-0008-0000-0E00-00004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10</xdr:row>
          <xdr:rowOff>25400</xdr:rowOff>
        </xdr:from>
        <xdr:to>
          <xdr:col>2</xdr:col>
          <xdr:colOff>571500</xdr:colOff>
          <xdr:row>10</xdr:row>
          <xdr:rowOff>177800</xdr:rowOff>
        </xdr:to>
        <xdr:sp macro="" textlink="">
          <xdr:nvSpPr>
            <xdr:cNvPr id="22613" name="Check Box 85" hidden="1">
              <a:extLst>
                <a:ext uri="{63B3BB69-23CF-44E3-9099-C40C66FF867C}">
                  <a14:compatExt spid="_x0000_s22613"/>
                </a:ext>
                <a:ext uri="{FF2B5EF4-FFF2-40B4-BE49-F238E27FC236}">
                  <a16:creationId xmlns:a16="http://schemas.microsoft.com/office/drawing/2014/main" id="{00000000-0008-0000-0E00-00005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11</xdr:row>
          <xdr:rowOff>203200</xdr:rowOff>
        </xdr:from>
        <xdr:to>
          <xdr:col>2</xdr:col>
          <xdr:colOff>571500</xdr:colOff>
          <xdr:row>11</xdr:row>
          <xdr:rowOff>368300</xdr:rowOff>
        </xdr:to>
        <xdr:sp macro="" textlink="">
          <xdr:nvSpPr>
            <xdr:cNvPr id="22614" name="Check Box 86" hidden="1">
              <a:extLst>
                <a:ext uri="{63B3BB69-23CF-44E3-9099-C40C66FF867C}">
                  <a14:compatExt spid="_x0000_s22614"/>
                </a:ext>
                <a:ext uri="{FF2B5EF4-FFF2-40B4-BE49-F238E27FC236}">
                  <a16:creationId xmlns:a16="http://schemas.microsoft.com/office/drawing/2014/main" id="{00000000-0008-0000-0E00-00005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12</xdr:row>
          <xdr:rowOff>25400</xdr:rowOff>
        </xdr:from>
        <xdr:to>
          <xdr:col>2</xdr:col>
          <xdr:colOff>571500</xdr:colOff>
          <xdr:row>12</xdr:row>
          <xdr:rowOff>177800</xdr:rowOff>
        </xdr:to>
        <xdr:sp macro="" textlink="">
          <xdr:nvSpPr>
            <xdr:cNvPr id="22615" name="Check Box 87" hidden="1">
              <a:extLst>
                <a:ext uri="{63B3BB69-23CF-44E3-9099-C40C66FF867C}">
                  <a14:compatExt spid="_x0000_s22615"/>
                </a:ext>
                <a:ext uri="{FF2B5EF4-FFF2-40B4-BE49-F238E27FC236}">
                  <a16:creationId xmlns:a16="http://schemas.microsoft.com/office/drawing/2014/main" id="{00000000-0008-0000-0E00-00005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13</xdr:row>
          <xdr:rowOff>228600</xdr:rowOff>
        </xdr:from>
        <xdr:to>
          <xdr:col>2</xdr:col>
          <xdr:colOff>571500</xdr:colOff>
          <xdr:row>13</xdr:row>
          <xdr:rowOff>381000</xdr:rowOff>
        </xdr:to>
        <xdr:sp macro="" textlink="">
          <xdr:nvSpPr>
            <xdr:cNvPr id="22616" name="Check Box 88" hidden="1">
              <a:extLst>
                <a:ext uri="{63B3BB69-23CF-44E3-9099-C40C66FF867C}">
                  <a14:compatExt spid="_x0000_s22616"/>
                </a:ext>
                <a:ext uri="{FF2B5EF4-FFF2-40B4-BE49-F238E27FC236}">
                  <a16:creationId xmlns:a16="http://schemas.microsoft.com/office/drawing/2014/main" id="{00000000-0008-0000-0E00-00005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14</xdr:row>
          <xdr:rowOff>228600</xdr:rowOff>
        </xdr:from>
        <xdr:to>
          <xdr:col>2</xdr:col>
          <xdr:colOff>571500</xdr:colOff>
          <xdr:row>14</xdr:row>
          <xdr:rowOff>381000</xdr:rowOff>
        </xdr:to>
        <xdr:sp macro="" textlink="">
          <xdr:nvSpPr>
            <xdr:cNvPr id="22617" name="Check Box 89" hidden="1">
              <a:extLst>
                <a:ext uri="{63B3BB69-23CF-44E3-9099-C40C66FF867C}">
                  <a14:compatExt spid="_x0000_s22617"/>
                </a:ext>
                <a:ext uri="{FF2B5EF4-FFF2-40B4-BE49-F238E27FC236}">
                  <a16:creationId xmlns:a16="http://schemas.microsoft.com/office/drawing/2014/main" id="{00000000-0008-0000-0E00-00005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16</xdr:row>
          <xdr:rowOff>177800</xdr:rowOff>
        </xdr:from>
        <xdr:to>
          <xdr:col>2</xdr:col>
          <xdr:colOff>571500</xdr:colOff>
          <xdr:row>16</xdr:row>
          <xdr:rowOff>330200</xdr:rowOff>
        </xdr:to>
        <xdr:sp macro="" textlink="">
          <xdr:nvSpPr>
            <xdr:cNvPr id="22618" name="Check Box 90" hidden="1">
              <a:extLst>
                <a:ext uri="{63B3BB69-23CF-44E3-9099-C40C66FF867C}">
                  <a14:compatExt spid="_x0000_s22618"/>
                </a:ext>
                <a:ext uri="{FF2B5EF4-FFF2-40B4-BE49-F238E27FC236}">
                  <a16:creationId xmlns:a16="http://schemas.microsoft.com/office/drawing/2014/main" id="{00000000-0008-0000-0E00-00005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17</xdr:row>
          <xdr:rowOff>25400</xdr:rowOff>
        </xdr:from>
        <xdr:to>
          <xdr:col>2</xdr:col>
          <xdr:colOff>571500</xdr:colOff>
          <xdr:row>17</xdr:row>
          <xdr:rowOff>190500</xdr:rowOff>
        </xdr:to>
        <xdr:sp macro="" textlink="">
          <xdr:nvSpPr>
            <xdr:cNvPr id="22624" name="Check Box 96" hidden="1">
              <a:extLst>
                <a:ext uri="{63B3BB69-23CF-44E3-9099-C40C66FF867C}">
                  <a14:compatExt spid="_x0000_s22624"/>
                </a:ext>
                <a:ext uri="{FF2B5EF4-FFF2-40B4-BE49-F238E27FC236}">
                  <a16:creationId xmlns:a16="http://schemas.microsoft.com/office/drawing/2014/main" id="{00000000-0008-0000-0E00-00006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18</xdr:row>
          <xdr:rowOff>63500</xdr:rowOff>
        </xdr:from>
        <xdr:to>
          <xdr:col>2</xdr:col>
          <xdr:colOff>571500</xdr:colOff>
          <xdr:row>18</xdr:row>
          <xdr:rowOff>215900</xdr:rowOff>
        </xdr:to>
        <xdr:sp macro="" textlink="">
          <xdr:nvSpPr>
            <xdr:cNvPr id="22625" name="Check Box 97" hidden="1">
              <a:extLst>
                <a:ext uri="{63B3BB69-23CF-44E3-9099-C40C66FF867C}">
                  <a14:compatExt spid="_x0000_s22625"/>
                </a:ext>
                <a:ext uri="{FF2B5EF4-FFF2-40B4-BE49-F238E27FC236}">
                  <a16:creationId xmlns:a16="http://schemas.microsoft.com/office/drawing/2014/main" id="{00000000-0008-0000-0E00-00006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19</xdr:row>
          <xdr:rowOff>177800</xdr:rowOff>
        </xdr:from>
        <xdr:to>
          <xdr:col>2</xdr:col>
          <xdr:colOff>571500</xdr:colOff>
          <xdr:row>19</xdr:row>
          <xdr:rowOff>330200</xdr:rowOff>
        </xdr:to>
        <xdr:sp macro="" textlink="">
          <xdr:nvSpPr>
            <xdr:cNvPr id="22626" name="Check Box 98" hidden="1">
              <a:extLst>
                <a:ext uri="{63B3BB69-23CF-44E3-9099-C40C66FF867C}">
                  <a14:compatExt spid="_x0000_s22626"/>
                </a:ext>
                <a:ext uri="{FF2B5EF4-FFF2-40B4-BE49-F238E27FC236}">
                  <a16:creationId xmlns:a16="http://schemas.microsoft.com/office/drawing/2014/main" id="{00000000-0008-0000-0E00-00006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20</xdr:row>
          <xdr:rowOff>25400</xdr:rowOff>
        </xdr:from>
        <xdr:to>
          <xdr:col>2</xdr:col>
          <xdr:colOff>571500</xdr:colOff>
          <xdr:row>20</xdr:row>
          <xdr:rowOff>177800</xdr:rowOff>
        </xdr:to>
        <xdr:sp macro="" textlink="">
          <xdr:nvSpPr>
            <xdr:cNvPr id="22627" name="Check Box 99" hidden="1">
              <a:extLst>
                <a:ext uri="{63B3BB69-23CF-44E3-9099-C40C66FF867C}">
                  <a14:compatExt spid="_x0000_s22627"/>
                </a:ext>
                <a:ext uri="{FF2B5EF4-FFF2-40B4-BE49-F238E27FC236}">
                  <a16:creationId xmlns:a16="http://schemas.microsoft.com/office/drawing/2014/main" id="{00000000-0008-0000-0E00-00006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21</xdr:row>
          <xdr:rowOff>25400</xdr:rowOff>
        </xdr:from>
        <xdr:to>
          <xdr:col>2</xdr:col>
          <xdr:colOff>571500</xdr:colOff>
          <xdr:row>21</xdr:row>
          <xdr:rowOff>177800</xdr:rowOff>
        </xdr:to>
        <xdr:sp macro="" textlink="">
          <xdr:nvSpPr>
            <xdr:cNvPr id="22628" name="Check Box 100" hidden="1">
              <a:extLst>
                <a:ext uri="{63B3BB69-23CF-44E3-9099-C40C66FF867C}">
                  <a14:compatExt spid="_x0000_s22628"/>
                </a:ext>
                <a:ext uri="{FF2B5EF4-FFF2-40B4-BE49-F238E27FC236}">
                  <a16:creationId xmlns:a16="http://schemas.microsoft.com/office/drawing/2014/main" id="{00000000-0008-0000-0E00-00006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317500</xdr:colOff>
          <xdr:row>3</xdr:row>
          <xdr:rowOff>12700</xdr:rowOff>
        </xdr:from>
        <xdr:to>
          <xdr:col>2</xdr:col>
          <xdr:colOff>635000</xdr:colOff>
          <xdr:row>4</xdr:row>
          <xdr:rowOff>12700</xdr:rowOff>
        </xdr:to>
        <xdr:sp macro="" textlink="">
          <xdr:nvSpPr>
            <xdr:cNvPr id="23589" name="Check Box 37" hidden="1">
              <a:extLst>
                <a:ext uri="{63B3BB69-23CF-44E3-9099-C40C66FF867C}">
                  <a14:compatExt spid="_x0000_s23589"/>
                </a:ext>
                <a:ext uri="{FF2B5EF4-FFF2-40B4-BE49-F238E27FC236}">
                  <a16:creationId xmlns:a16="http://schemas.microsoft.com/office/drawing/2014/main" id="{00000000-0008-0000-0F00-00002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5</xdr:row>
          <xdr:rowOff>12700</xdr:rowOff>
        </xdr:from>
        <xdr:to>
          <xdr:col>2</xdr:col>
          <xdr:colOff>635000</xdr:colOff>
          <xdr:row>6</xdr:row>
          <xdr:rowOff>12700</xdr:rowOff>
        </xdr:to>
        <xdr:sp macro="" textlink="">
          <xdr:nvSpPr>
            <xdr:cNvPr id="23590" name="Check Box 38" hidden="1">
              <a:extLst>
                <a:ext uri="{63B3BB69-23CF-44E3-9099-C40C66FF867C}">
                  <a14:compatExt spid="_x0000_s23590"/>
                </a:ext>
                <a:ext uri="{FF2B5EF4-FFF2-40B4-BE49-F238E27FC236}">
                  <a16:creationId xmlns:a16="http://schemas.microsoft.com/office/drawing/2014/main" id="{00000000-0008-0000-0F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7</xdr:row>
          <xdr:rowOff>12700</xdr:rowOff>
        </xdr:from>
        <xdr:to>
          <xdr:col>2</xdr:col>
          <xdr:colOff>635000</xdr:colOff>
          <xdr:row>8</xdr:row>
          <xdr:rowOff>12700</xdr:rowOff>
        </xdr:to>
        <xdr:sp macro="" textlink="">
          <xdr:nvSpPr>
            <xdr:cNvPr id="23591" name="Check Box 39" hidden="1">
              <a:extLst>
                <a:ext uri="{63B3BB69-23CF-44E3-9099-C40C66FF867C}">
                  <a14:compatExt spid="_x0000_s23591"/>
                </a:ext>
                <a:ext uri="{FF2B5EF4-FFF2-40B4-BE49-F238E27FC236}">
                  <a16:creationId xmlns:a16="http://schemas.microsoft.com/office/drawing/2014/main" id="{00000000-0008-0000-0F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8</xdr:row>
          <xdr:rowOff>127000</xdr:rowOff>
        </xdr:from>
        <xdr:to>
          <xdr:col>2</xdr:col>
          <xdr:colOff>635000</xdr:colOff>
          <xdr:row>8</xdr:row>
          <xdr:rowOff>355600</xdr:rowOff>
        </xdr:to>
        <xdr:sp macro="" textlink="">
          <xdr:nvSpPr>
            <xdr:cNvPr id="23592" name="Check Box 40" hidden="1">
              <a:extLst>
                <a:ext uri="{63B3BB69-23CF-44E3-9099-C40C66FF867C}">
                  <a14:compatExt spid="_x0000_s23592"/>
                </a:ext>
                <a:ext uri="{FF2B5EF4-FFF2-40B4-BE49-F238E27FC236}">
                  <a16:creationId xmlns:a16="http://schemas.microsoft.com/office/drawing/2014/main" id="{00000000-0008-0000-0F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330200</xdr:colOff>
          <xdr:row>4</xdr:row>
          <xdr:rowOff>38100</xdr:rowOff>
        </xdr:from>
        <xdr:to>
          <xdr:col>2</xdr:col>
          <xdr:colOff>596900</xdr:colOff>
          <xdr:row>4</xdr:row>
          <xdr:rowOff>203200</xdr:rowOff>
        </xdr:to>
        <xdr:sp macro="" textlink="">
          <xdr:nvSpPr>
            <xdr:cNvPr id="24645" name="Check Box 69" hidden="1">
              <a:extLst>
                <a:ext uri="{63B3BB69-23CF-44E3-9099-C40C66FF867C}">
                  <a14:compatExt spid="_x0000_s24645"/>
                </a:ext>
                <a:ext uri="{FF2B5EF4-FFF2-40B4-BE49-F238E27FC236}">
                  <a16:creationId xmlns:a16="http://schemas.microsoft.com/office/drawing/2014/main" id="{00000000-0008-0000-1000-00004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6</xdr:row>
          <xdr:rowOff>38100</xdr:rowOff>
        </xdr:from>
        <xdr:to>
          <xdr:col>2</xdr:col>
          <xdr:colOff>596900</xdr:colOff>
          <xdr:row>6</xdr:row>
          <xdr:rowOff>203200</xdr:rowOff>
        </xdr:to>
        <xdr:sp macro="" textlink="">
          <xdr:nvSpPr>
            <xdr:cNvPr id="24646" name="Check Box 70" hidden="1">
              <a:extLst>
                <a:ext uri="{63B3BB69-23CF-44E3-9099-C40C66FF867C}">
                  <a14:compatExt spid="_x0000_s24646"/>
                </a:ext>
                <a:ext uri="{FF2B5EF4-FFF2-40B4-BE49-F238E27FC236}">
                  <a16:creationId xmlns:a16="http://schemas.microsoft.com/office/drawing/2014/main" id="{00000000-0008-0000-1000-00004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2</xdr:row>
          <xdr:rowOff>50800</xdr:rowOff>
        </xdr:from>
        <xdr:to>
          <xdr:col>2</xdr:col>
          <xdr:colOff>647700</xdr:colOff>
          <xdr:row>2</xdr:row>
          <xdr:rowOff>215900</xdr:rowOff>
        </xdr:to>
        <xdr:sp macro="" textlink="">
          <xdr:nvSpPr>
            <xdr:cNvPr id="25744" name="Check Box 144" hidden="1">
              <a:extLst>
                <a:ext uri="{63B3BB69-23CF-44E3-9099-C40C66FF867C}">
                  <a14:compatExt spid="_x0000_s25744"/>
                </a:ext>
                <a:ext uri="{FF2B5EF4-FFF2-40B4-BE49-F238E27FC236}">
                  <a16:creationId xmlns:a16="http://schemas.microsoft.com/office/drawing/2014/main" id="{00000000-0008-0000-1100-00009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xdr:row>
          <xdr:rowOff>50800</xdr:rowOff>
        </xdr:from>
        <xdr:to>
          <xdr:col>2</xdr:col>
          <xdr:colOff>647700</xdr:colOff>
          <xdr:row>3</xdr:row>
          <xdr:rowOff>215900</xdr:rowOff>
        </xdr:to>
        <xdr:sp macro="" textlink="">
          <xdr:nvSpPr>
            <xdr:cNvPr id="25745" name="Check Box 145" hidden="1">
              <a:extLst>
                <a:ext uri="{63B3BB69-23CF-44E3-9099-C40C66FF867C}">
                  <a14:compatExt spid="_x0000_s25745"/>
                </a:ext>
                <a:ext uri="{FF2B5EF4-FFF2-40B4-BE49-F238E27FC236}">
                  <a16:creationId xmlns:a16="http://schemas.microsoft.com/office/drawing/2014/main" id="{00000000-0008-0000-1100-00009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5</xdr:row>
          <xdr:rowOff>50800</xdr:rowOff>
        </xdr:from>
        <xdr:to>
          <xdr:col>2</xdr:col>
          <xdr:colOff>647700</xdr:colOff>
          <xdr:row>5</xdr:row>
          <xdr:rowOff>215900</xdr:rowOff>
        </xdr:to>
        <xdr:sp macro="" textlink="">
          <xdr:nvSpPr>
            <xdr:cNvPr id="25746" name="Check Box 146" hidden="1">
              <a:extLst>
                <a:ext uri="{63B3BB69-23CF-44E3-9099-C40C66FF867C}">
                  <a14:compatExt spid="_x0000_s25746"/>
                </a:ext>
                <a:ext uri="{FF2B5EF4-FFF2-40B4-BE49-F238E27FC236}">
                  <a16:creationId xmlns:a16="http://schemas.microsoft.com/office/drawing/2014/main" id="{00000000-0008-0000-1100-00009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7</xdr:row>
          <xdr:rowOff>50800</xdr:rowOff>
        </xdr:from>
        <xdr:to>
          <xdr:col>2</xdr:col>
          <xdr:colOff>647700</xdr:colOff>
          <xdr:row>7</xdr:row>
          <xdr:rowOff>215900</xdr:rowOff>
        </xdr:to>
        <xdr:sp macro="" textlink="">
          <xdr:nvSpPr>
            <xdr:cNvPr id="25747" name="Check Box 147" hidden="1">
              <a:extLst>
                <a:ext uri="{63B3BB69-23CF-44E3-9099-C40C66FF867C}">
                  <a14:compatExt spid="_x0000_s25747"/>
                </a:ext>
                <a:ext uri="{FF2B5EF4-FFF2-40B4-BE49-F238E27FC236}">
                  <a16:creationId xmlns:a16="http://schemas.microsoft.com/office/drawing/2014/main" id="{00000000-0008-0000-1100-00009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8</xdr:row>
          <xdr:rowOff>50800</xdr:rowOff>
        </xdr:from>
        <xdr:to>
          <xdr:col>2</xdr:col>
          <xdr:colOff>647700</xdr:colOff>
          <xdr:row>8</xdr:row>
          <xdr:rowOff>215900</xdr:rowOff>
        </xdr:to>
        <xdr:sp macro="" textlink="">
          <xdr:nvSpPr>
            <xdr:cNvPr id="25748" name="Check Box 148" hidden="1">
              <a:extLst>
                <a:ext uri="{63B3BB69-23CF-44E3-9099-C40C66FF867C}">
                  <a14:compatExt spid="_x0000_s25748"/>
                </a:ext>
                <a:ext uri="{FF2B5EF4-FFF2-40B4-BE49-F238E27FC236}">
                  <a16:creationId xmlns:a16="http://schemas.microsoft.com/office/drawing/2014/main" id="{00000000-0008-0000-1100-00009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9</xdr:row>
          <xdr:rowOff>50800</xdr:rowOff>
        </xdr:from>
        <xdr:to>
          <xdr:col>2</xdr:col>
          <xdr:colOff>647700</xdr:colOff>
          <xdr:row>9</xdr:row>
          <xdr:rowOff>215900</xdr:rowOff>
        </xdr:to>
        <xdr:sp macro="" textlink="">
          <xdr:nvSpPr>
            <xdr:cNvPr id="25749" name="Check Box 149" hidden="1">
              <a:extLst>
                <a:ext uri="{63B3BB69-23CF-44E3-9099-C40C66FF867C}">
                  <a14:compatExt spid="_x0000_s25749"/>
                </a:ext>
                <a:ext uri="{FF2B5EF4-FFF2-40B4-BE49-F238E27FC236}">
                  <a16:creationId xmlns:a16="http://schemas.microsoft.com/office/drawing/2014/main" id="{00000000-0008-0000-1100-00009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10</xdr:row>
          <xdr:rowOff>50800</xdr:rowOff>
        </xdr:from>
        <xdr:to>
          <xdr:col>2</xdr:col>
          <xdr:colOff>647700</xdr:colOff>
          <xdr:row>10</xdr:row>
          <xdr:rowOff>215900</xdr:rowOff>
        </xdr:to>
        <xdr:sp macro="" textlink="">
          <xdr:nvSpPr>
            <xdr:cNvPr id="25750" name="Check Box 150" hidden="1">
              <a:extLst>
                <a:ext uri="{63B3BB69-23CF-44E3-9099-C40C66FF867C}">
                  <a14:compatExt spid="_x0000_s25750"/>
                </a:ext>
                <a:ext uri="{FF2B5EF4-FFF2-40B4-BE49-F238E27FC236}">
                  <a16:creationId xmlns:a16="http://schemas.microsoft.com/office/drawing/2014/main" id="{00000000-0008-0000-1100-00009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11</xdr:row>
          <xdr:rowOff>50800</xdr:rowOff>
        </xdr:from>
        <xdr:to>
          <xdr:col>2</xdr:col>
          <xdr:colOff>647700</xdr:colOff>
          <xdr:row>11</xdr:row>
          <xdr:rowOff>215900</xdr:rowOff>
        </xdr:to>
        <xdr:sp macro="" textlink="">
          <xdr:nvSpPr>
            <xdr:cNvPr id="25751" name="Check Box 151" hidden="1">
              <a:extLst>
                <a:ext uri="{63B3BB69-23CF-44E3-9099-C40C66FF867C}">
                  <a14:compatExt spid="_x0000_s25751"/>
                </a:ext>
                <a:ext uri="{FF2B5EF4-FFF2-40B4-BE49-F238E27FC236}">
                  <a16:creationId xmlns:a16="http://schemas.microsoft.com/office/drawing/2014/main" id="{00000000-0008-0000-1100-00009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12</xdr:row>
          <xdr:rowOff>50800</xdr:rowOff>
        </xdr:from>
        <xdr:to>
          <xdr:col>2</xdr:col>
          <xdr:colOff>647700</xdr:colOff>
          <xdr:row>12</xdr:row>
          <xdr:rowOff>215900</xdr:rowOff>
        </xdr:to>
        <xdr:sp macro="" textlink="">
          <xdr:nvSpPr>
            <xdr:cNvPr id="25752" name="Check Box 152" hidden="1">
              <a:extLst>
                <a:ext uri="{63B3BB69-23CF-44E3-9099-C40C66FF867C}">
                  <a14:compatExt spid="_x0000_s25752"/>
                </a:ext>
                <a:ext uri="{FF2B5EF4-FFF2-40B4-BE49-F238E27FC236}">
                  <a16:creationId xmlns:a16="http://schemas.microsoft.com/office/drawing/2014/main" id="{00000000-0008-0000-1100-00009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14</xdr:row>
          <xdr:rowOff>50800</xdr:rowOff>
        </xdr:from>
        <xdr:to>
          <xdr:col>2</xdr:col>
          <xdr:colOff>647700</xdr:colOff>
          <xdr:row>14</xdr:row>
          <xdr:rowOff>215900</xdr:rowOff>
        </xdr:to>
        <xdr:sp macro="" textlink="">
          <xdr:nvSpPr>
            <xdr:cNvPr id="25753" name="Check Box 153" hidden="1">
              <a:extLst>
                <a:ext uri="{63B3BB69-23CF-44E3-9099-C40C66FF867C}">
                  <a14:compatExt spid="_x0000_s25753"/>
                </a:ext>
                <a:ext uri="{FF2B5EF4-FFF2-40B4-BE49-F238E27FC236}">
                  <a16:creationId xmlns:a16="http://schemas.microsoft.com/office/drawing/2014/main" id="{00000000-0008-0000-1100-00009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15</xdr:row>
          <xdr:rowOff>50800</xdr:rowOff>
        </xdr:from>
        <xdr:to>
          <xdr:col>2</xdr:col>
          <xdr:colOff>647700</xdr:colOff>
          <xdr:row>15</xdr:row>
          <xdr:rowOff>215900</xdr:rowOff>
        </xdr:to>
        <xdr:sp macro="" textlink="">
          <xdr:nvSpPr>
            <xdr:cNvPr id="25754" name="Check Box 154" hidden="1">
              <a:extLst>
                <a:ext uri="{63B3BB69-23CF-44E3-9099-C40C66FF867C}">
                  <a14:compatExt spid="_x0000_s25754"/>
                </a:ext>
                <a:ext uri="{FF2B5EF4-FFF2-40B4-BE49-F238E27FC236}">
                  <a16:creationId xmlns:a16="http://schemas.microsoft.com/office/drawing/2014/main" id="{00000000-0008-0000-1100-00009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16</xdr:row>
          <xdr:rowOff>50800</xdr:rowOff>
        </xdr:from>
        <xdr:to>
          <xdr:col>2</xdr:col>
          <xdr:colOff>647700</xdr:colOff>
          <xdr:row>16</xdr:row>
          <xdr:rowOff>215900</xdr:rowOff>
        </xdr:to>
        <xdr:sp macro="" textlink="">
          <xdr:nvSpPr>
            <xdr:cNvPr id="25755" name="Check Box 155" hidden="1">
              <a:extLst>
                <a:ext uri="{63B3BB69-23CF-44E3-9099-C40C66FF867C}">
                  <a14:compatExt spid="_x0000_s25755"/>
                </a:ext>
                <a:ext uri="{FF2B5EF4-FFF2-40B4-BE49-F238E27FC236}">
                  <a16:creationId xmlns:a16="http://schemas.microsoft.com/office/drawing/2014/main" id="{00000000-0008-0000-1100-00009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17</xdr:row>
          <xdr:rowOff>50800</xdr:rowOff>
        </xdr:from>
        <xdr:to>
          <xdr:col>2</xdr:col>
          <xdr:colOff>647700</xdr:colOff>
          <xdr:row>17</xdr:row>
          <xdr:rowOff>215900</xdr:rowOff>
        </xdr:to>
        <xdr:sp macro="" textlink="">
          <xdr:nvSpPr>
            <xdr:cNvPr id="25756" name="Check Box 156" hidden="1">
              <a:extLst>
                <a:ext uri="{63B3BB69-23CF-44E3-9099-C40C66FF867C}">
                  <a14:compatExt spid="_x0000_s25756"/>
                </a:ext>
                <a:ext uri="{FF2B5EF4-FFF2-40B4-BE49-F238E27FC236}">
                  <a16:creationId xmlns:a16="http://schemas.microsoft.com/office/drawing/2014/main" id="{00000000-0008-0000-1100-00009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20</xdr:row>
          <xdr:rowOff>50800</xdr:rowOff>
        </xdr:from>
        <xdr:to>
          <xdr:col>2</xdr:col>
          <xdr:colOff>647700</xdr:colOff>
          <xdr:row>20</xdr:row>
          <xdr:rowOff>215900</xdr:rowOff>
        </xdr:to>
        <xdr:sp macro="" textlink="">
          <xdr:nvSpPr>
            <xdr:cNvPr id="25757" name="Check Box 157" hidden="1">
              <a:extLst>
                <a:ext uri="{63B3BB69-23CF-44E3-9099-C40C66FF867C}">
                  <a14:compatExt spid="_x0000_s25757"/>
                </a:ext>
                <a:ext uri="{FF2B5EF4-FFF2-40B4-BE49-F238E27FC236}">
                  <a16:creationId xmlns:a16="http://schemas.microsoft.com/office/drawing/2014/main" id="{00000000-0008-0000-1100-00009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22</xdr:row>
          <xdr:rowOff>50800</xdr:rowOff>
        </xdr:from>
        <xdr:to>
          <xdr:col>2</xdr:col>
          <xdr:colOff>647700</xdr:colOff>
          <xdr:row>22</xdr:row>
          <xdr:rowOff>215900</xdr:rowOff>
        </xdr:to>
        <xdr:sp macro="" textlink="">
          <xdr:nvSpPr>
            <xdr:cNvPr id="25758" name="Check Box 158" hidden="1">
              <a:extLst>
                <a:ext uri="{63B3BB69-23CF-44E3-9099-C40C66FF867C}">
                  <a14:compatExt spid="_x0000_s25758"/>
                </a:ext>
                <a:ext uri="{FF2B5EF4-FFF2-40B4-BE49-F238E27FC236}">
                  <a16:creationId xmlns:a16="http://schemas.microsoft.com/office/drawing/2014/main" id="{00000000-0008-0000-1100-00009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27</xdr:row>
          <xdr:rowOff>50800</xdr:rowOff>
        </xdr:from>
        <xdr:to>
          <xdr:col>2</xdr:col>
          <xdr:colOff>647700</xdr:colOff>
          <xdr:row>27</xdr:row>
          <xdr:rowOff>215900</xdr:rowOff>
        </xdr:to>
        <xdr:sp macro="" textlink="">
          <xdr:nvSpPr>
            <xdr:cNvPr id="25759" name="Check Box 159" hidden="1">
              <a:extLst>
                <a:ext uri="{63B3BB69-23CF-44E3-9099-C40C66FF867C}">
                  <a14:compatExt spid="_x0000_s25759"/>
                </a:ext>
                <a:ext uri="{FF2B5EF4-FFF2-40B4-BE49-F238E27FC236}">
                  <a16:creationId xmlns:a16="http://schemas.microsoft.com/office/drawing/2014/main" id="{00000000-0008-0000-1100-00009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2</xdr:row>
          <xdr:rowOff>190500</xdr:rowOff>
        </xdr:from>
        <xdr:to>
          <xdr:col>2</xdr:col>
          <xdr:colOff>571500</xdr:colOff>
          <xdr:row>2</xdr:row>
          <xdr:rowOff>342900</xdr:rowOff>
        </xdr:to>
        <xdr:sp macro="" textlink="">
          <xdr:nvSpPr>
            <xdr:cNvPr id="26667" name="Check Box 43" hidden="1">
              <a:extLst>
                <a:ext uri="{63B3BB69-23CF-44E3-9099-C40C66FF867C}">
                  <a14:compatExt spid="_x0000_s26667"/>
                </a:ext>
                <a:ext uri="{FF2B5EF4-FFF2-40B4-BE49-F238E27FC236}">
                  <a16:creationId xmlns:a16="http://schemas.microsoft.com/office/drawing/2014/main" id="{00000000-0008-0000-1200-00002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3</xdr:row>
          <xdr:rowOff>38100</xdr:rowOff>
        </xdr:from>
        <xdr:to>
          <xdr:col>2</xdr:col>
          <xdr:colOff>571500</xdr:colOff>
          <xdr:row>3</xdr:row>
          <xdr:rowOff>190500</xdr:rowOff>
        </xdr:to>
        <xdr:sp macro="" textlink="">
          <xdr:nvSpPr>
            <xdr:cNvPr id="26668" name="Check Box 44" hidden="1">
              <a:extLst>
                <a:ext uri="{63B3BB69-23CF-44E3-9099-C40C66FF867C}">
                  <a14:compatExt spid="_x0000_s26668"/>
                </a:ext>
                <a:ext uri="{FF2B5EF4-FFF2-40B4-BE49-F238E27FC236}">
                  <a16:creationId xmlns:a16="http://schemas.microsoft.com/office/drawing/2014/main" id="{00000000-0008-0000-1200-00002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5</xdr:row>
          <xdr:rowOff>165100</xdr:rowOff>
        </xdr:from>
        <xdr:to>
          <xdr:col>2</xdr:col>
          <xdr:colOff>571500</xdr:colOff>
          <xdr:row>5</xdr:row>
          <xdr:rowOff>317500</xdr:rowOff>
        </xdr:to>
        <xdr:sp macro="" textlink="">
          <xdr:nvSpPr>
            <xdr:cNvPr id="26669" name="Check Box 45" hidden="1">
              <a:extLst>
                <a:ext uri="{63B3BB69-23CF-44E3-9099-C40C66FF867C}">
                  <a14:compatExt spid="_x0000_s26669"/>
                </a:ext>
                <a:ext uri="{FF2B5EF4-FFF2-40B4-BE49-F238E27FC236}">
                  <a16:creationId xmlns:a16="http://schemas.microsoft.com/office/drawing/2014/main" id="{00000000-0008-0000-1200-00002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355600</xdr:colOff>
          <xdr:row>5</xdr:row>
          <xdr:rowOff>38100</xdr:rowOff>
        </xdr:from>
        <xdr:to>
          <xdr:col>2</xdr:col>
          <xdr:colOff>596900</xdr:colOff>
          <xdr:row>5</xdr:row>
          <xdr:rowOff>203200</xdr:rowOff>
        </xdr:to>
        <xdr:sp macro="" textlink="">
          <xdr:nvSpPr>
            <xdr:cNvPr id="27723" name="Check Box 75" hidden="1">
              <a:extLst>
                <a:ext uri="{63B3BB69-23CF-44E3-9099-C40C66FF867C}">
                  <a14:compatExt spid="_x0000_s27723"/>
                </a:ext>
                <a:ext uri="{FF2B5EF4-FFF2-40B4-BE49-F238E27FC236}">
                  <a16:creationId xmlns:a16="http://schemas.microsoft.com/office/drawing/2014/main" id="{00000000-0008-0000-1300-00004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6</xdr:row>
          <xdr:rowOff>38100</xdr:rowOff>
        </xdr:from>
        <xdr:to>
          <xdr:col>2</xdr:col>
          <xdr:colOff>596900</xdr:colOff>
          <xdr:row>6</xdr:row>
          <xdr:rowOff>203200</xdr:rowOff>
        </xdr:to>
        <xdr:sp macro="" textlink="">
          <xdr:nvSpPr>
            <xdr:cNvPr id="27724" name="Check Box 76" hidden="1">
              <a:extLst>
                <a:ext uri="{63B3BB69-23CF-44E3-9099-C40C66FF867C}">
                  <a14:compatExt spid="_x0000_s27724"/>
                </a:ext>
                <a:ext uri="{FF2B5EF4-FFF2-40B4-BE49-F238E27FC236}">
                  <a16:creationId xmlns:a16="http://schemas.microsoft.com/office/drawing/2014/main" id="{00000000-0008-0000-1300-00004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7</xdr:row>
          <xdr:rowOff>38100</xdr:rowOff>
        </xdr:from>
        <xdr:to>
          <xdr:col>2</xdr:col>
          <xdr:colOff>596900</xdr:colOff>
          <xdr:row>7</xdr:row>
          <xdr:rowOff>203200</xdr:rowOff>
        </xdr:to>
        <xdr:sp macro="" textlink="">
          <xdr:nvSpPr>
            <xdr:cNvPr id="27725" name="Check Box 77" hidden="1">
              <a:extLst>
                <a:ext uri="{63B3BB69-23CF-44E3-9099-C40C66FF867C}">
                  <a14:compatExt spid="_x0000_s27725"/>
                </a:ext>
                <a:ext uri="{FF2B5EF4-FFF2-40B4-BE49-F238E27FC236}">
                  <a16:creationId xmlns:a16="http://schemas.microsoft.com/office/drawing/2014/main" id="{00000000-0008-0000-1300-00004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8</xdr:row>
          <xdr:rowOff>38100</xdr:rowOff>
        </xdr:from>
        <xdr:to>
          <xdr:col>2</xdr:col>
          <xdr:colOff>596900</xdr:colOff>
          <xdr:row>8</xdr:row>
          <xdr:rowOff>203200</xdr:rowOff>
        </xdr:to>
        <xdr:sp macro="" textlink="">
          <xdr:nvSpPr>
            <xdr:cNvPr id="27726" name="Check Box 78" hidden="1">
              <a:extLst>
                <a:ext uri="{63B3BB69-23CF-44E3-9099-C40C66FF867C}">
                  <a14:compatExt spid="_x0000_s27726"/>
                </a:ext>
                <a:ext uri="{FF2B5EF4-FFF2-40B4-BE49-F238E27FC236}">
                  <a16:creationId xmlns:a16="http://schemas.microsoft.com/office/drawing/2014/main" id="{00000000-0008-0000-1300-00004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9</xdr:row>
          <xdr:rowOff>38100</xdr:rowOff>
        </xdr:from>
        <xdr:to>
          <xdr:col>2</xdr:col>
          <xdr:colOff>596900</xdr:colOff>
          <xdr:row>9</xdr:row>
          <xdr:rowOff>203200</xdr:rowOff>
        </xdr:to>
        <xdr:sp macro="" textlink="">
          <xdr:nvSpPr>
            <xdr:cNvPr id="27727" name="Check Box 79" hidden="1">
              <a:extLst>
                <a:ext uri="{63B3BB69-23CF-44E3-9099-C40C66FF867C}">
                  <a14:compatExt spid="_x0000_s27727"/>
                </a:ext>
                <a:ext uri="{FF2B5EF4-FFF2-40B4-BE49-F238E27FC236}">
                  <a16:creationId xmlns:a16="http://schemas.microsoft.com/office/drawing/2014/main" id="{00000000-0008-0000-1300-00004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10</xdr:row>
          <xdr:rowOff>38100</xdr:rowOff>
        </xdr:from>
        <xdr:to>
          <xdr:col>2</xdr:col>
          <xdr:colOff>596900</xdr:colOff>
          <xdr:row>10</xdr:row>
          <xdr:rowOff>203200</xdr:rowOff>
        </xdr:to>
        <xdr:sp macro="" textlink="">
          <xdr:nvSpPr>
            <xdr:cNvPr id="27728" name="Check Box 80" hidden="1">
              <a:extLst>
                <a:ext uri="{63B3BB69-23CF-44E3-9099-C40C66FF867C}">
                  <a14:compatExt spid="_x0000_s27728"/>
                </a:ext>
                <a:ext uri="{FF2B5EF4-FFF2-40B4-BE49-F238E27FC236}">
                  <a16:creationId xmlns:a16="http://schemas.microsoft.com/office/drawing/2014/main" id="{00000000-0008-0000-1300-00005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12</xdr:row>
          <xdr:rowOff>38100</xdr:rowOff>
        </xdr:from>
        <xdr:to>
          <xdr:col>2</xdr:col>
          <xdr:colOff>596900</xdr:colOff>
          <xdr:row>12</xdr:row>
          <xdr:rowOff>203200</xdr:rowOff>
        </xdr:to>
        <xdr:sp macro="" textlink="">
          <xdr:nvSpPr>
            <xdr:cNvPr id="27729" name="Check Box 81" hidden="1">
              <a:extLst>
                <a:ext uri="{63B3BB69-23CF-44E3-9099-C40C66FF867C}">
                  <a14:compatExt spid="_x0000_s27729"/>
                </a:ext>
                <a:ext uri="{FF2B5EF4-FFF2-40B4-BE49-F238E27FC236}">
                  <a16:creationId xmlns:a16="http://schemas.microsoft.com/office/drawing/2014/main" id="{00000000-0008-0000-1300-00005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317500</xdr:colOff>
          <xdr:row>3</xdr:row>
          <xdr:rowOff>50800</xdr:rowOff>
        </xdr:from>
        <xdr:to>
          <xdr:col>2</xdr:col>
          <xdr:colOff>622300</xdr:colOff>
          <xdr:row>3</xdr:row>
          <xdr:rowOff>203200</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14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4</xdr:row>
          <xdr:rowOff>50800</xdr:rowOff>
        </xdr:from>
        <xdr:to>
          <xdr:col>2</xdr:col>
          <xdr:colOff>622300</xdr:colOff>
          <xdr:row>4</xdr:row>
          <xdr:rowOff>203200</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14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5</xdr:row>
          <xdr:rowOff>50800</xdr:rowOff>
        </xdr:from>
        <xdr:to>
          <xdr:col>2</xdr:col>
          <xdr:colOff>622300</xdr:colOff>
          <xdr:row>5</xdr:row>
          <xdr:rowOff>203200</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14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6</xdr:row>
          <xdr:rowOff>50800</xdr:rowOff>
        </xdr:from>
        <xdr:to>
          <xdr:col>2</xdr:col>
          <xdr:colOff>622300</xdr:colOff>
          <xdr:row>6</xdr:row>
          <xdr:rowOff>203200</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14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8</xdr:row>
          <xdr:rowOff>50800</xdr:rowOff>
        </xdr:from>
        <xdr:to>
          <xdr:col>2</xdr:col>
          <xdr:colOff>622300</xdr:colOff>
          <xdr:row>8</xdr:row>
          <xdr:rowOff>203200</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14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9</xdr:row>
          <xdr:rowOff>50800</xdr:rowOff>
        </xdr:from>
        <xdr:to>
          <xdr:col>2</xdr:col>
          <xdr:colOff>622300</xdr:colOff>
          <xdr:row>9</xdr:row>
          <xdr:rowOff>203200</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14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10</xdr:row>
          <xdr:rowOff>50800</xdr:rowOff>
        </xdr:from>
        <xdr:to>
          <xdr:col>2</xdr:col>
          <xdr:colOff>622300</xdr:colOff>
          <xdr:row>10</xdr:row>
          <xdr:rowOff>203200</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14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trlProp" Target="../ctrlProps/ctrlProp36.xml"/><Relationship Id="rId3" Type="http://schemas.openxmlformats.org/officeDocument/2006/relationships/ctrlProp" Target="../ctrlProps/ctrlProp21.xml"/><Relationship Id="rId21" Type="http://schemas.openxmlformats.org/officeDocument/2006/relationships/ctrlProp" Target="../ctrlProps/ctrlProp39.x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vmlDrawing" Target="../drawings/vmlDrawing2.vml"/><Relationship Id="rId16" Type="http://schemas.openxmlformats.org/officeDocument/2006/relationships/ctrlProp" Target="../ctrlProps/ctrlProp34.xml"/><Relationship Id="rId20" Type="http://schemas.openxmlformats.org/officeDocument/2006/relationships/ctrlProp" Target="../ctrlProps/ctrlProp38.xml"/><Relationship Id="rId1" Type="http://schemas.openxmlformats.org/officeDocument/2006/relationships/drawing" Target="../drawings/drawing3.xml"/><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23" Type="http://schemas.openxmlformats.org/officeDocument/2006/relationships/ctrlProp" Target="../ctrlProps/ctrlProp41.xml"/><Relationship Id="rId10" Type="http://schemas.openxmlformats.org/officeDocument/2006/relationships/ctrlProp" Target="../ctrlProps/ctrlProp28.xml"/><Relationship Id="rId19" Type="http://schemas.openxmlformats.org/officeDocument/2006/relationships/ctrlProp" Target="../ctrlProps/ctrlProp37.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 Id="rId22" Type="http://schemas.openxmlformats.org/officeDocument/2006/relationships/ctrlProp" Target="../ctrlProps/ctrlProp4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ctrlProp" Target="../ctrlProps/ctrlProp42.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vmlDrawing" Target="../drawings/vmlDrawing3.vml"/><Relationship Id="rId16" Type="http://schemas.openxmlformats.org/officeDocument/2006/relationships/ctrlProp" Target="../ctrlProps/ctrlProp55.xml"/><Relationship Id="rId1" Type="http://schemas.openxmlformats.org/officeDocument/2006/relationships/drawing" Target="../drawings/drawing4.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81.xml"/><Relationship Id="rId21" Type="http://schemas.openxmlformats.org/officeDocument/2006/relationships/ctrlProp" Target="../ctrlProps/ctrlProp76.xml"/><Relationship Id="rId42" Type="http://schemas.openxmlformats.org/officeDocument/2006/relationships/ctrlProp" Target="../ctrlProps/ctrlProp97.xml"/><Relationship Id="rId47" Type="http://schemas.openxmlformats.org/officeDocument/2006/relationships/ctrlProp" Target="../ctrlProps/ctrlProp102.xml"/><Relationship Id="rId63" Type="http://schemas.openxmlformats.org/officeDocument/2006/relationships/ctrlProp" Target="../ctrlProps/ctrlProp118.xml"/><Relationship Id="rId68" Type="http://schemas.openxmlformats.org/officeDocument/2006/relationships/ctrlProp" Target="../ctrlProps/ctrlProp123.xml"/><Relationship Id="rId16" Type="http://schemas.openxmlformats.org/officeDocument/2006/relationships/ctrlProp" Target="../ctrlProps/ctrlProp71.xml"/><Relationship Id="rId11" Type="http://schemas.openxmlformats.org/officeDocument/2006/relationships/ctrlProp" Target="../ctrlProps/ctrlProp66.xml"/><Relationship Id="rId32" Type="http://schemas.openxmlformats.org/officeDocument/2006/relationships/ctrlProp" Target="../ctrlProps/ctrlProp87.xml"/><Relationship Id="rId37" Type="http://schemas.openxmlformats.org/officeDocument/2006/relationships/ctrlProp" Target="../ctrlProps/ctrlProp92.xml"/><Relationship Id="rId53" Type="http://schemas.openxmlformats.org/officeDocument/2006/relationships/ctrlProp" Target="../ctrlProps/ctrlProp108.xml"/><Relationship Id="rId58" Type="http://schemas.openxmlformats.org/officeDocument/2006/relationships/ctrlProp" Target="../ctrlProps/ctrlProp113.xml"/><Relationship Id="rId74" Type="http://schemas.openxmlformats.org/officeDocument/2006/relationships/ctrlProp" Target="../ctrlProps/ctrlProp129.xml"/><Relationship Id="rId79" Type="http://schemas.openxmlformats.org/officeDocument/2006/relationships/ctrlProp" Target="../ctrlProps/ctrlProp134.xml"/><Relationship Id="rId5" Type="http://schemas.openxmlformats.org/officeDocument/2006/relationships/ctrlProp" Target="../ctrlProps/ctrlProp60.xml"/><Relationship Id="rId61" Type="http://schemas.openxmlformats.org/officeDocument/2006/relationships/ctrlProp" Target="../ctrlProps/ctrlProp116.xml"/><Relationship Id="rId82" Type="http://schemas.openxmlformats.org/officeDocument/2006/relationships/ctrlProp" Target="../ctrlProps/ctrlProp137.xml"/><Relationship Id="rId19" Type="http://schemas.openxmlformats.org/officeDocument/2006/relationships/ctrlProp" Target="../ctrlProps/ctrlProp7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ctrlProp" Target="../ctrlProps/ctrlProp90.xml"/><Relationship Id="rId43" Type="http://schemas.openxmlformats.org/officeDocument/2006/relationships/ctrlProp" Target="../ctrlProps/ctrlProp98.xml"/><Relationship Id="rId48" Type="http://schemas.openxmlformats.org/officeDocument/2006/relationships/ctrlProp" Target="../ctrlProps/ctrlProp103.xml"/><Relationship Id="rId56" Type="http://schemas.openxmlformats.org/officeDocument/2006/relationships/ctrlProp" Target="../ctrlProps/ctrlProp111.xml"/><Relationship Id="rId64" Type="http://schemas.openxmlformats.org/officeDocument/2006/relationships/ctrlProp" Target="../ctrlProps/ctrlProp119.xml"/><Relationship Id="rId69" Type="http://schemas.openxmlformats.org/officeDocument/2006/relationships/ctrlProp" Target="../ctrlProps/ctrlProp124.xml"/><Relationship Id="rId77" Type="http://schemas.openxmlformats.org/officeDocument/2006/relationships/ctrlProp" Target="../ctrlProps/ctrlProp132.xml"/><Relationship Id="rId8" Type="http://schemas.openxmlformats.org/officeDocument/2006/relationships/ctrlProp" Target="../ctrlProps/ctrlProp63.xml"/><Relationship Id="rId51" Type="http://schemas.openxmlformats.org/officeDocument/2006/relationships/ctrlProp" Target="../ctrlProps/ctrlProp106.xml"/><Relationship Id="rId72" Type="http://schemas.openxmlformats.org/officeDocument/2006/relationships/ctrlProp" Target="../ctrlProps/ctrlProp127.xml"/><Relationship Id="rId80" Type="http://schemas.openxmlformats.org/officeDocument/2006/relationships/ctrlProp" Target="../ctrlProps/ctrlProp135.xml"/><Relationship Id="rId3" Type="http://schemas.openxmlformats.org/officeDocument/2006/relationships/ctrlProp" Target="../ctrlProps/ctrlProp58.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ctrlProp" Target="../ctrlProps/ctrlProp93.xml"/><Relationship Id="rId46" Type="http://schemas.openxmlformats.org/officeDocument/2006/relationships/ctrlProp" Target="../ctrlProps/ctrlProp101.xml"/><Relationship Id="rId59" Type="http://schemas.openxmlformats.org/officeDocument/2006/relationships/ctrlProp" Target="../ctrlProps/ctrlProp114.xml"/><Relationship Id="rId67" Type="http://schemas.openxmlformats.org/officeDocument/2006/relationships/ctrlProp" Target="../ctrlProps/ctrlProp122.xml"/><Relationship Id="rId20" Type="http://schemas.openxmlformats.org/officeDocument/2006/relationships/ctrlProp" Target="../ctrlProps/ctrlProp75.xml"/><Relationship Id="rId41" Type="http://schemas.openxmlformats.org/officeDocument/2006/relationships/ctrlProp" Target="../ctrlProps/ctrlProp96.xml"/><Relationship Id="rId54" Type="http://schemas.openxmlformats.org/officeDocument/2006/relationships/ctrlProp" Target="../ctrlProps/ctrlProp109.xml"/><Relationship Id="rId62" Type="http://schemas.openxmlformats.org/officeDocument/2006/relationships/ctrlProp" Target="../ctrlProps/ctrlProp117.xml"/><Relationship Id="rId70" Type="http://schemas.openxmlformats.org/officeDocument/2006/relationships/ctrlProp" Target="../ctrlProps/ctrlProp125.xml"/><Relationship Id="rId75" Type="http://schemas.openxmlformats.org/officeDocument/2006/relationships/ctrlProp" Target="../ctrlProps/ctrlProp130.xml"/><Relationship Id="rId1" Type="http://schemas.openxmlformats.org/officeDocument/2006/relationships/drawing" Target="../drawings/drawing5.xml"/><Relationship Id="rId6" Type="http://schemas.openxmlformats.org/officeDocument/2006/relationships/ctrlProp" Target="../ctrlProps/ctrlProp61.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ctrlProp" Target="../ctrlProps/ctrlProp91.xml"/><Relationship Id="rId49" Type="http://schemas.openxmlformats.org/officeDocument/2006/relationships/ctrlProp" Target="../ctrlProps/ctrlProp104.xml"/><Relationship Id="rId57" Type="http://schemas.openxmlformats.org/officeDocument/2006/relationships/ctrlProp" Target="../ctrlProps/ctrlProp112.xml"/><Relationship Id="rId10" Type="http://schemas.openxmlformats.org/officeDocument/2006/relationships/ctrlProp" Target="../ctrlProps/ctrlProp65.xml"/><Relationship Id="rId31" Type="http://schemas.openxmlformats.org/officeDocument/2006/relationships/ctrlProp" Target="../ctrlProps/ctrlProp86.xml"/><Relationship Id="rId44" Type="http://schemas.openxmlformats.org/officeDocument/2006/relationships/ctrlProp" Target="../ctrlProps/ctrlProp99.xml"/><Relationship Id="rId52" Type="http://schemas.openxmlformats.org/officeDocument/2006/relationships/ctrlProp" Target="../ctrlProps/ctrlProp107.xml"/><Relationship Id="rId60" Type="http://schemas.openxmlformats.org/officeDocument/2006/relationships/ctrlProp" Target="../ctrlProps/ctrlProp115.xml"/><Relationship Id="rId65" Type="http://schemas.openxmlformats.org/officeDocument/2006/relationships/ctrlProp" Target="../ctrlProps/ctrlProp120.xml"/><Relationship Id="rId73" Type="http://schemas.openxmlformats.org/officeDocument/2006/relationships/ctrlProp" Target="../ctrlProps/ctrlProp128.xml"/><Relationship Id="rId78" Type="http://schemas.openxmlformats.org/officeDocument/2006/relationships/ctrlProp" Target="../ctrlProps/ctrlProp133.xml"/><Relationship Id="rId81" Type="http://schemas.openxmlformats.org/officeDocument/2006/relationships/ctrlProp" Target="../ctrlProps/ctrlProp136.xml"/><Relationship Id="rId4" Type="http://schemas.openxmlformats.org/officeDocument/2006/relationships/ctrlProp" Target="../ctrlProps/ctrlProp59.xml"/><Relationship Id="rId9" Type="http://schemas.openxmlformats.org/officeDocument/2006/relationships/ctrlProp" Target="../ctrlProps/ctrlProp64.xml"/><Relationship Id="rId13" Type="http://schemas.openxmlformats.org/officeDocument/2006/relationships/ctrlProp" Target="../ctrlProps/ctrlProp68.xml"/><Relationship Id="rId18" Type="http://schemas.openxmlformats.org/officeDocument/2006/relationships/ctrlProp" Target="../ctrlProps/ctrlProp73.xml"/><Relationship Id="rId39" Type="http://schemas.openxmlformats.org/officeDocument/2006/relationships/ctrlProp" Target="../ctrlProps/ctrlProp94.xml"/><Relationship Id="rId34" Type="http://schemas.openxmlformats.org/officeDocument/2006/relationships/ctrlProp" Target="../ctrlProps/ctrlProp89.xml"/><Relationship Id="rId50" Type="http://schemas.openxmlformats.org/officeDocument/2006/relationships/ctrlProp" Target="../ctrlProps/ctrlProp105.xml"/><Relationship Id="rId55" Type="http://schemas.openxmlformats.org/officeDocument/2006/relationships/ctrlProp" Target="../ctrlProps/ctrlProp110.xml"/><Relationship Id="rId76" Type="http://schemas.openxmlformats.org/officeDocument/2006/relationships/ctrlProp" Target="../ctrlProps/ctrlProp131.xml"/><Relationship Id="rId7" Type="http://schemas.openxmlformats.org/officeDocument/2006/relationships/ctrlProp" Target="../ctrlProps/ctrlProp62.xml"/><Relationship Id="rId71" Type="http://schemas.openxmlformats.org/officeDocument/2006/relationships/ctrlProp" Target="../ctrlProps/ctrlProp126.xml"/><Relationship Id="rId2" Type="http://schemas.openxmlformats.org/officeDocument/2006/relationships/vmlDrawing" Target="../drawings/vmlDrawing4.vml"/><Relationship Id="rId29" Type="http://schemas.openxmlformats.org/officeDocument/2006/relationships/ctrlProp" Target="../ctrlProps/ctrlProp84.xml"/><Relationship Id="rId24" Type="http://schemas.openxmlformats.org/officeDocument/2006/relationships/ctrlProp" Target="../ctrlProps/ctrlProp79.xml"/><Relationship Id="rId40" Type="http://schemas.openxmlformats.org/officeDocument/2006/relationships/ctrlProp" Target="../ctrlProps/ctrlProp95.xml"/><Relationship Id="rId45" Type="http://schemas.openxmlformats.org/officeDocument/2006/relationships/ctrlProp" Target="../ctrlProps/ctrlProp100.xml"/><Relationship Id="rId66" Type="http://schemas.openxmlformats.org/officeDocument/2006/relationships/ctrlProp" Target="../ctrlProps/ctrlProp12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3.xml"/><Relationship Id="rId13" Type="http://schemas.openxmlformats.org/officeDocument/2006/relationships/ctrlProp" Target="../ctrlProps/ctrlProp148.xml"/><Relationship Id="rId3" Type="http://schemas.openxmlformats.org/officeDocument/2006/relationships/ctrlProp" Target="../ctrlProps/ctrlProp138.xml"/><Relationship Id="rId7" Type="http://schemas.openxmlformats.org/officeDocument/2006/relationships/ctrlProp" Target="../ctrlProps/ctrlProp142.xml"/><Relationship Id="rId12" Type="http://schemas.openxmlformats.org/officeDocument/2006/relationships/ctrlProp" Target="../ctrlProps/ctrlProp147.xml"/><Relationship Id="rId2" Type="http://schemas.openxmlformats.org/officeDocument/2006/relationships/vmlDrawing" Target="../drawings/vmlDrawing5.vml"/><Relationship Id="rId16" Type="http://schemas.openxmlformats.org/officeDocument/2006/relationships/ctrlProp" Target="../ctrlProps/ctrlProp151.xml"/><Relationship Id="rId1" Type="http://schemas.openxmlformats.org/officeDocument/2006/relationships/drawing" Target="../drawings/drawing6.xml"/><Relationship Id="rId6" Type="http://schemas.openxmlformats.org/officeDocument/2006/relationships/ctrlProp" Target="../ctrlProps/ctrlProp141.xml"/><Relationship Id="rId11" Type="http://schemas.openxmlformats.org/officeDocument/2006/relationships/ctrlProp" Target="../ctrlProps/ctrlProp146.xml"/><Relationship Id="rId5" Type="http://schemas.openxmlformats.org/officeDocument/2006/relationships/ctrlProp" Target="../ctrlProps/ctrlProp140.xml"/><Relationship Id="rId15" Type="http://schemas.openxmlformats.org/officeDocument/2006/relationships/ctrlProp" Target="../ctrlProps/ctrlProp150.xml"/><Relationship Id="rId10" Type="http://schemas.openxmlformats.org/officeDocument/2006/relationships/ctrlProp" Target="../ctrlProps/ctrlProp145.xml"/><Relationship Id="rId4" Type="http://schemas.openxmlformats.org/officeDocument/2006/relationships/ctrlProp" Target="../ctrlProps/ctrlProp139.xml"/><Relationship Id="rId9" Type="http://schemas.openxmlformats.org/officeDocument/2006/relationships/ctrlProp" Target="../ctrlProps/ctrlProp144.xml"/><Relationship Id="rId14" Type="http://schemas.openxmlformats.org/officeDocument/2006/relationships/ctrlProp" Target="../ctrlProps/ctrlProp14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7.xml"/><Relationship Id="rId13" Type="http://schemas.openxmlformats.org/officeDocument/2006/relationships/ctrlProp" Target="../ctrlProps/ctrlProp162.xml"/><Relationship Id="rId18" Type="http://schemas.openxmlformats.org/officeDocument/2006/relationships/ctrlProp" Target="../ctrlProps/ctrlProp167.xml"/><Relationship Id="rId3" Type="http://schemas.openxmlformats.org/officeDocument/2006/relationships/ctrlProp" Target="../ctrlProps/ctrlProp152.xml"/><Relationship Id="rId21" Type="http://schemas.openxmlformats.org/officeDocument/2006/relationships/ctrlProp" Target="../ctrlProps/ctrlProp170.xml"/><Relationship Id="rId7" Type="http://schemas.openxmlformats.org/officeDocument/2006/relationships/ctrlProp" Target="../ctrlProps/ctrlProp156.xml"/><Relationship Id="rId12" Type="http://schemas.openxmlformats.org/officeDocument/2006/relationships/ctrlProp" Target="../ctrlProps/ctrlProp161.xml"/><Relationship Id="rId17" Type="http://schemas.openxmlformats.org/officeDocument/2006/relationships/ctrlProp" Target="../ctrlProps/ctrlProp166.xml"/><Relationship Id="rId2" Type="http://schemas.openxmlformats.org/officeDocument/2006/relationships/vmlDrawing" Target="../drawings/vmlDrawing6.vml"/><Relationship Id="rId16" Type="http://schemas.openxmlformats.org/officeDocument/2006/relationships/ctrlProp" Target="../ctrlProps/ctrlProp165.xml"/><Relationship Id="rId20" Type="http://schemas.openxmlformats.org/officeDocument/2006/relationships/ctrlProp" Target="../ctrlProps/ctrlProp169.xml"/><Relationship Id="rId1" Type="http://schemas.openxmlformats.org/officeDocument/2006/relationships/drawing" Target="../drawings/drawing7.xml"/><Relationship Id="rId6" Type="http://schemas.openxmlformats.org/officeDocument/2006/relationships/ctrlProp" Target="../ctrlProps/ctrlProp155.xml"/><Relationship Id="rId11" Type="http://schemas.openxmlformats.org/officeDocument/2006/relationships/ctrlProp" Target="../ctrlProps/ctrlProp160.xml"/><Relationship Id="rId5" Type="http://schemas.openxmlformats.org/officeDocument/2006/relationships/ctrlProp" Target="../ctrlProps/ctrlProp154.xml"/><Relationship Id="rId15" Type="http://schemas.openxmlformats.org/officeDocument/2006/relationships/ctrlProp" Target="../ctrlProps/ctrlProp164.xml"/><Relationship Id="rId10" Type="http://schemas.openxmlformats.org/officeDocument/2006/relationships/ctrlProp" Target="../ctrlProps/ctrlProp159.xml"/><Relationship Id="rId19" Type="http://schemas.openxmlformats.org/officeDocument/2006/relationships/ctrlProp" Target="../ctrlProps/ctrlProp168.xml"/><Relationship Id="rId4" Type="http://schemas.openxmlformats.org/officeDocument/2006/relationships/ctrlProp" Target="../ctrlProps/ctrlProp153.xml"/><Relationship Id="rId9" Type="http://schemas.openxmlformats.org/officeDocument/2006/relationships/ctrlProp" Target="../ctrlProps/ctrlProp158.xml"/><Relationship Id="rId14" Type="http://schemas.openxmlformats.org/officeDocument/2006/relationships/ctrlProp" Target="../ctrlProps/ctrlProp163.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81.xml"/><Relationship Id="rId18" Type="http://schemas.openxmlformats.org/officeDocument/2006/relationships/ctrlProp" Target="../ctrlProps/ctrlProp186.xml"/><Relationship Id="rId26" Type="http://schemas.openxmlformats.org/officeDocument/2006/relationships/ctrlProp" Target="../ctrlProps/ctrlProp194.xml"/><Relationship Id="rId39" Type="http://schemas.openxmlformats.org/officeDocument/2006/relationships/ctrlProp" Target="../ctrlProps/ctrlProp207.xml"/><Relationship Id="rId21" Type="http://schemas.openxmlformats.org/officeDocument/2006/relationships/ctrlProp" Target="../ctrlProps/ctrlProp189.xml"/><Relationship Id="rId34" Type="http://schemas.openxmlformats.org/officeDocument/2006/relationships/ctrlProp" Target="../ctrlProps/ctrlProp202.xml"/><Relationship Id="rId7" Type="http://schemas.openxmlformats.org/officeDocument/2006/relationships/ctrlProp" Target="../ctrlProps/ctrlProp175.xml"/><Relationship Id="rId12" Type="http://schemas.openxmlformats.org/officeDocument/2006/relationships/ctrlProp" Target="../ctrlProps/ctrlProp180.xml"/><Relationship Id="rId17" Type="http://schemas.openxmlformats.org/officeDocument/2006/relationships/ctrlProp" Target="../ctrlProps/ctrlProp185.xml"/><Relationship Id="rId25" Type="http://schemas.openxmlformats.org/officeDocument/2006/relationships/ctrlProp" Target="../ctrlProps/ctrlProp193.xml"/><Relationship Id="rId33" Type="http://schemas.openxmlformats.org/officeDocument/2006/relationships/ctrlProp" Target="../ctrlProps/ctrlProp201.xml"/><Relationship Id="rId38" Type="http://schemas.openxmlformats.org/officeDocument/2006/relationships/ctrlProp" Target="../ctrlProps/ctrlProp206.xml"/><Relationship Id="rId2" Type="http://schemas.openxmlformats.org/officeDocument/2006/relationships/vmlDrawing" Target="../drawings/vmlDrawing7.vml"/><Relationship Id="rId16" Type="http://schemas.openxmlformats.org/officeDocument/2006/relationships/ctrlProp" Target="../ctrlProps/ctrlProp184.xml"/><Relationship Id="rId20" Type="http://schemas.openxmlformats.org/officeDocument/2006/relationships/ctrlProp" Target="../ctrlProps/ctrlProp188.xml"/><Relationship Id="rId29" Type="http://schemas.openxmlformats.org/officeDocument/2006/relationships/ctrlProp" Target="../ctrlProps/ctrlProp197.xml"/><Relationship Id="rId1" Type="http://schemas.openxmlformats.org/officeDocument/2006/relationships/drawing" Target="../drawings/drawing8.xml"/><Relationship Id="rId6" Type="http://schemas.openxmlformats.org/officeDocument/2006/relationships/ctrlProp" Target="../ctrlProps/ctrlProp174.xml"/><Relationship Id="rId11" Type="http://schemas.openxmlformats.org/officeDocument/2006/relationships/ctrlProp" Target="../ctrlProps/ctrlProp179.xml"/><Relationship Id="rId24" Type="http://schemas.openxmlformats.org/officeDocument/2006/relationships/ctrlProp" Target="../ctrlProps/ctrlProp192.xml"/><Relationship Id="rId32" Type="http://schemas.openxmlformats.org/officeDocument/2006/relationships/ctrlProp" Target="../ctrlProps/ctrlProp200.xml"/><Relationship Id="rId37" Type="http://schemas.openxmlformats.org/officeDocument/2006/relationships/ctrlProp" Target="../ctrlProps/ctrlProp205.xml"/><Relationship Id="rId40" Type="http://schemas.openxmlformats.org/officeDocument/2006/relationships/ctrlProp" Target="../ctrlProps/ctrlProp208.xml"/><Relationship Id="rId5" Type="http://schemas.openxmlformats.org/officeDocument/2006/relationships/ctrlProp" Target="../ctrlProps/ctrlProp173.xml"/><Relationship Id="rId15" Type="http://schemas.openxmlformats.org/officeDocument/2006/relationships/ctrlProp" Target="../ctrlProps/ctrlProp183.xml"/><Relationship Id="rId23" Type="http://schemas.openxmlformats.org/officeDocument/2006/relationships/ctrlProp" Target="../ctrlProps/ctrlProp191.xml"/><Relationship Id="rId28" Type="http://schemas.openxmlformats.org/officeDocument/2006/relationships/ctrlProp" Target="../ctrlProps/ctrlProp196.xml"/><Relationship Id="rId36" Type="http://schemas.openxmlformats.org/officeDocument/2006/relationships/ctrlProp" Target="../ctrlProps/ctrlProp204.xml"/><Relationship Id="rId10" Type="http://schemas.openxmlformats.org/officeDocument/2006/relationships/ctrlProp" Target="../ctrlProps/ctrlProp178.xml"/><Relationship Id="rId19" Type="http://schemas.openxmlformats.org/officeDocument/2006/relationships/ctrlProp" Target="../ctrlProps/ctrlProp187.xml"/><Relationship Id="rId31" Type="http://schemas.openxmlformats.org/officeDocument/2006/relationships/ctrlProp" Target="../ctrlProps/ctrlProp199.xml"/><Relationship Id="rId4" Type="http://schemas.openxmlformats.org/officeDocument/2006/relationships/ctrlProp" Target="../ctrlProps/ctrlProp172.xml"/><Relationship Id="rId9" Type="http://schemas.openxmlformats.org/officeDocument/2006/relationships/ctrlProp" Target="../ctrlProps/ctrlProp177.xml"/><Relationship Id="rId14" Type="http://schemas.openxmlformats.org/officeDocument/2006/relationships/ctrlProp" Target="../ctrlProps/ctrlProp182.xml"/><Relationship Id="rId22" Type="http://schemas.openxmlformats.org/officeDocument/2006/relationships/ctrlProp" Target="../ctrlProps/ctrlProp190.xml"/><Relationship Id="rId27" Type="http://schemas.openxmlformats.org/officeDocument/2006/relationships/ctrlProp" Target="../ctrlProps/ctrlProp195.xml"/><Relationship Id="rId30" Type="http://schemas.openxmlformats.org/officeDocument/2006/relationships/ctrlProp" Target="../ctrlProps/ctrlProp198.xml"/><Relationship Id="rId35" Type="http://schemas.openxmlformats.org/officeDocument/2006/relationships/ctrlProp" Target="../ctrlProps/ctrlProp203.xml"/><Relationship Id="rId8" Type="http://schemas.openxmlformats.org/officeDocument/2006/relationships/ctrlProp" Target="../ctrlProps/ctrlProp176.xml"/><Relationship Id="rId3" Type="http://schemas.openxmlformats.org/officeDocument/2006/relationships/ctrlProp" Target="../ctrlProps/ctrlProp1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14.xml"/><Relationship Id="rId3" Type="http://schemas.openxmlformats.org/officeDocument/2006/relationships/ctrlProp" Target="../ctrlProps/ctrlProp209.xml"/><Relationship Id="rId7" Type="http://schemas.openxmlformats.org/officeDocument/2006/relationships/ctrlProp" Target="../ctrlProps/ctrlProp213.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12.xml"/><Relationship Id="rId11" Type="http://schemas.openxmlformats.org/officeDocument/2006/relationships/ctrlProp" Target="../ctrlProps/ctrlProp217.xml"/><Relationship Id="rId5" Type="http://schemas.openxmlformats.org/officeDocument/2006/relationships/ctrlProp" Target="../ctrlProps/ctrlProp211.xml"/><Relationship Id="rId10" Type="http://schemas.openxmlformats.org/officeDocument/2006/relationships/ctrlProp" Target="../ctrlProps/ctrlProp216.xml"/><Relationship Id="rId4" Type="http://schemas.openxmlformats.org/officeDocument/2006/relationships/ctrlProp" Target="../ctrlProps/ctrlProp210.xml"/><Relationship Id="rId9" Type="http://schemas.openxmlformats.org/officeDocument/2006/relationships/ctrlProp" Target="../ctrlProps/ctrlProp21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23.xml"/><Relationship Id="rId3" Type="http://schemas.openxmlformats.org/officeDocument/2006/relationships/ctrlProp" Target="../ctrlProps/ctrlProp218.xml"/><Relationship Id="rId7" Type="http://schemas.openxmlformats.org/officeDocument/2006/relationships/ctrlProp" Target="../ctrlProps/ctrlProp222.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221.xml"/><Relationship Id="rId5" Type="http://schemas.openxmlformats.org/officeDocument/2006/relationships/ctrlProp" Target="../ctrlProps/ctrlProp220.xml"/><Relationship Id="rId4" Type="http://schemas.openxmlformats.org/officeDocument/2006/relationships/ctrlProp" Target="../ctrlProps/ctrlProp219.xml"/><Relationship Id="rId9" Type="http://schemas.openxmlformats.org/officeDocument/2006/relationships/ctrlProp" Target="../ctrlProps/ctrlProp22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25.xml"/><Relationship Id="rId7" Type="http://schemas.openxmlformats.org/officeDocument/2006/relationships/ctrlProp" Target="../ctrlProps/ctrlProp229.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228.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5.xml"/><Relationship Id="rId3" Type="http://schemas.openxmlformats.org/officeDocument/2006/relationships/ctrlProp" Target="../ctrlProps/ctrlProp230.xml"/><Relationship Id="rId7" Type="http://schemas.openxmlformats.org/officeDocument/2006/relationships/ctrlProp" Target="../ctrlProps/ctrlProp234.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233.xml"/><Relationship Id="rId5" Type="http://schemas.openxmlformats.org/officeDocument/2006/relationships/ctrlProp" Target="../ctrlProps/ctrlProp232.xml"/><Relationship Id="rId4" Type="http://schemas.openxmlformats.org/officeDocument/2006/relationships/ctrlProp" Target="../ctrlProps/ctrlProp23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41.xml"/><Relationship Id="rId3" Type="http://schemas.openxmlformats.org/officeDocument/2006/relationships/ctrlProp" Target="../ctrlProps/ctrlProp236.xml"/><Relationship Id="rId7" Type="http://schemas.openxmlformats.org/officeDocument/2006/relationships/ctrlProp" Target="../ctrlProps/ctrlProp240.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239.xml"/><Relationship Id="rId5" Type="http://schemas.openxmlformats.org/officeDocument/2006/relationships/ctrlProp" Target="../ctrlProps/ctrlProp238.xml"/><Relationship Id="rId4" Type="http://schemas.openxmlformats.org/officeDocument/2006/relationships/ctrlProp" Target="../ctrlProps/ctrlProp237.xml"/><Relationship Id="rId9" Type="http://schemas.openxmlformats.org/officeDocument/2006/relationships/ctrlProp" Target="../ctrlProps/ctrlProp24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48.xml"/><Relationship Id="rId3" Type="http://schemas.openxmlformats.org/officeDocument/2006/relationships/ctrlProp" Target="../ctrlProps/ctrlProp243.xml"/><Relationship Id="rId7" Type="http://schemas.openxmlformats.org/officeDocument/2006/relationships/ctrlProp" Target="../ctrlProps/ctrlProp247.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246.xml"/><Relationship Id="rId5" Type="http://schemas.openxmlformats.org/officeDocument/2006/relationships/ctrlProp" Target="../ctrlProps/ctrlProp245.xml"/><Relationship Id="rId4" Type="http://schemas.openxmlformats.org/officeDocument/2006/relationships/ctrlProp" Target="../ctrlProps/ctrlProp244.xml"/><Relationship Id="rId9" Type="http://schemas.openxmlformats.org/officeDocument/2006/relationships/ctrlProp" Target="../ctrlProps/ctrlProp24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55.xml"/><Relationship Id="rId13" Type="http://schemas.openxmlformats.org/officeDocument/2006/relationships/ctrlProp" Target="../ctrlProps/ctrlProp260.xml"/><Relationship Id="rId18" Type="http://schemas.openxmlformats.org/officeDocument/2006/relationships/ctrlProp" Target="../ctrlProps/ctrlProp265.xml"/><Relationship Id="rId3" Type="http://schemas.openxmlformats.org/officeDocument/2006/relationships/ctrlProp" Target="../ctrlProps/ctrlProp250.xml"/><Relationship Id="rId7" Type="http://schemas.openxmlformats.org/officeDocument/2006/relationships/ctrlProp" Target="../ctrlProps/ctrlProp254.xml"/><Relationship Id="rId12" Type="http://schemas.openxmlformats.org/officeDocument/2006/relationships/ctrlProp" Target="../ctrlProps/ctrlProp259.xml"/><Relationship Id="rId17" Type="http://schemas.openxmlformats.org/officeDocument/2006/relationships/ctrlProp" Target="../ctrlProps/ctrlProp264.xml"/><Relationship Id="rId2" Type="http://schemas.openxmlformats.org/officeDocument/2006/relationships/vmlDrawing" Target="../drawings/vmlDrawing14.vml"/><Relationship Id="rId16" Type="http://schemas.openxmlformats.org/officeDocument/2006/relationships/ctrlProp" Target="../ctrlProps/ctrlProp263.xml"/><Relationship Id="rId1" Type="http://schemas.openxmlformats.org/officeDocument/2006/relationships/drawing" Target="../drawings/drawing15.xml"/><Relationship Id="rId6" Type="http://schemas.openxmlformats.org/officeDocument/2006/relationships/ctrlProp" Target="../ctrlProps/ctrlProp253.xml"/><Relationship Id="rId11" Type="http://schemas.openxmlformats.org/officeDocument/2006/relationships/ctrlProp" Target="../ctrlProps/ctrlProp258.xml"/><Relationship Id="rId5" Type="http://schemas.openxmlformats.org/officeDocument/2006/relationships/ctrlProp" Target="../ctrlProps/ctrlProp252.xml"/><Relationship Id="rId15" Type="http://schemas.openxmlformats.org/officeDocument/2006/relationships/ctrlProp" Target="../ctrlProps/ctrlProp262.xml"/><Relationship Id="rId10" Type="http://schemas.openxmlformats.org/officeDocument/2006/relationships/ctrlProp" Target="../ctrlProps/ctrlProp257.xml"/><Relationship Id="rId4" Type="http://schemas.openxmlformats.org/officeDocument/2006/relationships/ctrlProp" Target="../ctrlProps/ctrlProp251.xml"/><Relationship Id="rId9" Type="http://schemas.openxmlformats.org/officeDocument/2006/relationships/ctrlProp" Target="../ctrlProps/ctrlProp256.xml"/><Relationship Id="rId14" Type="http://schemas.openxmlformats.org/officeDocument/2006/relationships/ctrlProp" Target="../ctrlProps/ctrlProp261.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66.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269.xml"/><Relationship Id="rId5" Type="http://schemas.openxmlformats.org/officeDocument/2006/relationships/ctrlProp" Target="../ctrlProps/ctrlProp268.xml"/><Relationship Id="rId4" Type="http://schemas.openxmlformats.org/officeDocument/2006/relationships/ctrlProp" Target="../ctrlProps/ctrlProp26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70.xml"/><Relationship Id="rId2" Type="http://schemas.openxmlformats.org/officeDocument/2006/relationships/vmlDrawing" Target="../drawings/vmlDrawing16.vml"/><Relationship Id="rId1" Type="http://schemas.openxmlformats.org/officeDocument/2006/relationships/drawing" Target="../drawings/drawing17.xml"/><Relationship Id="rId4" Type="http://schemas.openxmlformats.org/officeDocument/2006/relationships/ctrlProp" Target="../ctrlProps/ctrlProp27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77.xml"/><Relationship Id="rId13" Type="http://schemas.openxmlformats.org/officeDocument/2006/relationships/ctrlProp" Target="../ctrlProps/ctrlProp282.xml"/><Relationship Id="rId18" Type="http://schemas.openxmlformats.org/officeDocument/2006/relationships/ctrlProp" Target="../ctrlProps/ctrlProp287.xml"/><Relationship Id="rId3" Type="http://schemas.openxmlformats.org/officeDocument/2006/relationships/ctrlProp" Target="../ctrlProps/ctrlProp272.xml"/><Relationship Id="rId7" Type="http://schemas.openxmlformats.org/officeDocument/2006/relationships/ctrlProp" Target="../ctrlProps/ctrlProp276.xml"/><Relationship Id="rId12" Type="http://schemas.openxmlformats.org/officeDocument/2006/relationships/ctrlProp" Target="../ctrlProps/ctrlProp281.xml"/><Relationship Id="rId17" Type="http://schemas.openxmlformats.org/officeDocument/2006/relationships/ctrlProp" Target="../ctrlProps/ctrlProp286.xml"/><Relationship Id="rId2" Type="http://schemas.openxmlformats.org/officeDocument/2006/relationships/vmlDrawing" Target="../drawings/vmlDrawing17.vml"/><Relationship Id="rId16" Type="http://schemas.openxmlformats.org/officeDocument/2006/relationships/ctrlProp" Target="../ctrlProps/ctrlProp285.xml"/><Relationship Id="rId1" Type="http://schemas.openxmlformats.org/officeDocument/2006/relationships/drawing" Target="../drawings/drawing18.xml"/><Relationship Id="rId6" Type="http://schemas.openxmlformats.org/officeDocument/2006/relationships/ctrlProp" Target="../ctrlProps/ctrlProp275.xml"/><Relationship Id="rId11" Type="http://schemas.openxmlformats.org/officeDocument/2006/relationships/ctrlProp" Target="../ctrlProps/ctrlProp280.xml"/><Relationship Id="rId5" Type="http://schemas.openxmlformats.org/officeDocument/2006/relationships/ctrlProp" Target="../ctrlProps/ctrlProp274.xml"/><Relationship Id="rId15" Type="http://schemas.openxmlformats.org/officeDocument/2006/relationships/ctrlProp" Target="../ctrlProps/ctrlProp284.xml"/><Relationship Id="rId10" Type="http://schemas.openxmlformats.org/officeDocument/2006/relationships/ctrlProp" Target="../ctrlProps/ctrlProp279.xml"/><Relationship Id="rId4" Type="http://schemas.openxmlformats.org/officeDocument/2006/relationships/ctrlProp" Target="../ctrlProps/ctrlProp273.xml"/><Relationship Id="rId9" Type="http://schemas.openxmlformats.org/officeDocument/2006/relationships/ctrlProp" Target="../ctrlProps/ctrlProp278.xml"/><Relationship Id="rId14" Type="http://schemas.openxmlformats.org/officeDocument/2006/relationships/ctrlProp" Target="../ctrlProps/ctrlProp28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88.xml"/><Relationship Id="rId2" Type="http://schemas.openxmlformats.org/officeDocument/2006/relationships/vmlDrawing" Target="../drawings/vmlDrawing18.vml"/><Relationship Id="rId1" Type="http://schemas.openxmlformats.org/officeDocument/2006/relationships/drawing" Target="../drawings/drawing19.xml"/><Relationship Id="rId5" Type="http://schemas.openxmlformats.org/officeDocument/2006/relationships/ctrlProp" Target="../ctrlProps/ctrlProp290.xml"/><Relationship Id="rId4" Type="http://schemas.openxmlformats.org/officeDocument/2006/relationships/ctrlProp" Target="../ctrlProps/ctrlProp28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96.xml"/><Relationship Id="rId3" Type="http://schemas.openxmlformats.org/officeDocument/2006/relationships/ctrlProp" Target="../ctrlProps/ctrlProp291.xml"/><Relationship Id="rId7" Type="http://schemas.openxmlformats.org/officeDocument/2006/relationships/ctrlProp" Target="../ctrlProps/ctrlProp295.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294.xml"/><Relationship Id="rId5" Type="http://schemas.openxmlformats.org/officeDocument/2006/relationships/ctrlProp" Target="../ctrlProps/ctrlProp293.xml"/><Relationship Id="rId4" Type="http://schemas.openxmlformats.org/officeDocument/2006/relationships/ctrlProp" Target="../ctrlProps/ctrlProp292.xml"/><Relationship Id="rId9" Type="http://schemas.openxmlformats.org/officeDocument/2006/relationships/ctrlProp" Target="../ctrlProps/ctrlProp297.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03.xml"/><Relationship Id="rId3" Type="http://schemas.openxmlformats.org/officeDocument/2006/relationships/ctrlProp" Target="../ctrlProps/ctrlProp298.xml"/><Relationship Id="rId7" Type="http://schemas.openxmlformats.org/officeDocument/2006/relationships/ctrlProp" Target="../ctrlProps/ctrlProp302.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301.xml"/><Relationship Id="rId5" Type="http://schemas.openxmlformats.org/officeDocument/2006/relationships/ctrlProp" Target="../ctrlProps/ctrlProp300.xml"/><Relationship Id="rId4" Type="http://schemas.openxmlformats.org/officeDocument/2006/relationships/ctrlProp" Target="../ctrlProps/ctrlProp299.xml"/><Relationship Id="rId9" Type="http://schemas.openxmlformats.org/officeDocument/2006/relationships/ctrlProp" Target="../ctrlProps/ctrlProp30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20493-6935-5E47-A1FC-EF1924DAD2C1}">
  <sheetPr codeName="Sheet1"/>
  <dimension ref="A1:E22"/>
  <sheetViews>
    <sheetView zoomScale="50" zoomScaleNormal="50" workbookViewId="0">
      <selection activeCell="D28" sqref="D28"/>
    </sheetView>
  </sheetViews>
  <sheetFormatPr baseColWidth="10" defaultRowHeight="16" outlineLevelRow="1" x14ac:dyDescent="0.2"/>
  <cols>
    <col min="1" max="1" width="36.83203125" bestFit="1" customWidth="1"/>
    <col min="2" max="2" width="26.83203125" bestFit="1" customWidth="1"/>
    <col min="3" max="3" width="19.1640625" bestFit="1" customWidth="1"/>
    <col min="4" max="4" width="22.83203125" bestFit="1" customWidth="1"/>
    <col min="5" max="5" width="27.1640625" bestFit="1" customWidth="1"/>
  </cols>
  <sheetData>
    <row r="1" spans="1:5" ht="29" thickBot="1" x14ac:dyDescent="0.35">
      <c r="A1" s="98"/>
      <c r="B1" s="99" t="s">
        <v>51</v>
      </c>
      <c r="C1" s="99" t="s">
        <v>762</v>
      </c>
      <c r="D1" s="99" t="s">
        <v>52</v>
      </c>
      <c r="E1" s="99" t="s">
        <v>767</v>
      </c>
    </row>
    <row r="2" spans="1:5" ht="25" outlineLevel="1" x14ac:dyDescent="0.25">
      <c r="A2" s="97" t="s">
        <v>48</v>
      </c>
      <c r="B2" s="100">
        <f>'Airway Mx'!B28</f>
        <v>0</v>
      </c>
      <c r="C2" s="100">
        <f>'Airway Mx'!B27</f>
        <v>20</v>
      </c>
      <c r="D2" s="101">
        <f>'Airway Mx'!B29</f>
        <v>0</v>
      </c>
      <c r="E2" s="101">
        <f>(C2/C22)*100</f>
        <v>6.666666666666667</v>
      </c>
    </row>
    <row r="3" spans="1:5" ht="25" outlineLevel="1" x14ac:dyDescent="0.25">
      <c r="A3" s="92" t="s">
        <v>44</v>
      </c>
      <c r="B3" s="102">
        <f>'GA + Sedation'!B29</f>
        <v>0</v>
      </c>
      <c r="C3" s="102">
        <f>'GA + Sedation'!B28</f>
        <v>21</v>
      </c>
      <c r="D3" s="103">
        <f>'GA + Sedation'!B30</f>
        <v>0</v>
      </c>
      <c r="E3" s="103">
        <f>(C3/C22)*100</f>
        <v>7.0000000000000009</v>
      </c>
    </row>
    <row r="4" spans="1:5" ht="25" outlineLevel="1" x14ac:dyDescent="0.25">
      <c r="A4" s="92" t="s">
        <v>42</v>
      </c>
      <c r="B4" s="102">
        <f>Pain!B23</f>
        <v>0</v>
      </c>
      <c r="C4" s="102">
        <f>Pain!B22</f>
        <v>15</v>
      </c>
      <c r="D4" s="103">
        <f>Pain!B24</f>
        <v>0</v>
      </c>
      <c r="E4" s="103">
        <f>(C4/C22)*100</f>
        <v>5</v>
      </c>
    </row>
    <row r="5" spans="1:5" ht="25" outlineLevel="1" x14ac:dyDescent="0.25">
      <c r="A5" s="92" t="s">
        <v>49</v>
      </c>
      <c r="B5" s="102">
        <f>'Periop Med'!B90</f>
        <v>0</v>
      </c>
      <c r="C5" s="102">
        <f>'Periop Med'!B89</f>
        <v>80</v>
      </c>
      <c r="D5" s="103">
        <f>'Periop Med'!B91</f>
        <v>0</v>
      </c>
      <c r="E5" s="103">
        <f>(C5/C22)*100</f>
        <v>26.666666666666668</v>
      </c>
    </row>
    <row r="6" spans="1:5" ht="25" outlineLevel="1" x14ac:dyDescent="0.25">
      <c r="A6" s="92" t="s">
        <v>40</v>
      </c>
      <c r="B6" s="102">
        <f>'Regional + LA'!B22</f>
        <v>0</v>
      </c>
      <c r="C6" s="102">
        <f>'Regional + LA'!B21</f>
        <v>14</v>
      </c>
      <c r="D6" s="103">
        <f>'Regional + LA'!B23</f>
        <v>0</v>
      </c>
      <c r="E6" s="103">
        <f>(C6/C22)*100</f>
        <v>4.666666666666667</v>
      </c>
    </row>
    <row r="7" spans="1:5" ht="25" outlineLevel="1" x14ac:dyDescent="0.25">
      <c r="A7" s="92" t="s">
        <v>50</v>
      </c>
      <c r="B7" s="102">
        <f>'Resus, Trauma and Crisis Mx'!B28</f>
        <v>0</v>
      </c>
      <c r="C7" s="102">
        <f>'Resus, Trauma and Crisis Mx'!B27</f>
        <v>16</v>
      </c>
      <c r="D7" s="103">
        <f>'Resus, Trauma and Crisis Mx'!B29</f>
        <v>0</v>
      </c>
      <c r="E7" s="103">
        <f>(C7/C22)*100</f>
        <v>5.3333333333333339</v>
      </c>
    </row>
    <row r="8" spans="1:5" ht="25" outlineLevel="1" x14ac:dyDescent="0.25">
      <c r="A8" s="92" t="s">
        <v>22</v>
      </c>
      <c r="B8" s="102">
        <f>'Safety + Quality'!B44</f>
        <v>0</v>
      </c>
      <c r="C8" s="102">
        <f>'Safety + Quality'!B43</f>
        <v>38</v>
      </c>
      <c r="D8" s="103">
        <f>'Safety + Quality'!B45</f>
        <v>0</v>
      </c>
      <c r="E8" s="103">
        <f>(C8/C22)*100</f>
        <v>12.666666666666668</v>
      </c>
    </row>
    <row r="9" spans="1:5" ht="25" outlineLevel="1" x14ac:dyDescent="0.25">
      <c r="A9" s="92" t="s">
        <v>78</v>
      </c>
      <c r="B9" s="102">
        <f>'Roles in Practice'!B20</f>
        <v>0</v>
      </c>
      <c r="C9" s="102">
        <f>'Roles in Practice'!B19</f>
        <v>9</v>
      </c>
      <c r="D9" s="103">
        <f>'Roles in Practice'!B21</f>
        <v>0</v>
      </c>
      <c r="E9" s="103">
        <f>(C9/C22)*100</f>
        <v>3</v>
      </c>
    </row>
    <row r="10" spans="1:5" ht="25" outlineLevel="1" x14ac:dyDescent="0.25">
      <c r="A10" s="92" t="s">
        <v>96</v>
      </c>
      <c r="B10" s="102">
        <f>'Cardiac '!B20</f>
        <v>0</v>
      </c>
      <c r="C10" s="102">
        <f>'Cardiac '!B19</f>
        <v>7</v>
      </c>
      <c r="D10" s="103">
        <f>'Cardiac '!B21</f>
        <v>0</v>
      </c>
      <c r="E10" s="103">
        <f>(C10/C22)*100</f>
        <v>2.3333333333333335</v>
      </c>
    </row>
    <row r="11" spans="1:5" ht="25" outlineLevel="1" x14ac:dyDescent="0.25">
      <c r="A11" s="92" t="s">
        <v>99</v>
      </c>
      <c r="B11" s="102">
        <f>'Gsurg+Uro+Gyn+Endo'!B11</f>
        <v>0</v>
      </c>
      <c r="C11" s="102">
        <f>'Gsurg+Uro+Gyn+Endo'!B10</f>
        <v>5</v>
      </c>
      <c r="D11" s="103">
        <f>'Gsurg+Uro+Gyn+Endo'!B12</f>
        <v>0</v>
      </c>
      <c r="E11" s="103">
        <f>(C11/C22)*100</f>
        <v>1.6666666666666667</v>
      </c>
    </row>
    <row r="12" spans="1:5" ht="25" outlineLevel="1" x14ac:dyDescent="0.25">
      <c r="A12" s="92" t="s">
        <v>104</v>
      </c>
      <c r="B12" s="102">
        <f>'ENT+MF+Dent+ECT'!B13</f>
        <v>0</v>
      </c>
      <c r="C12" s="102">
        <f>'ENT+MF+Dent+ECT'!B12</f>
        <v>6</v>
      </c>
      <c r="D12" s="103">
        <f>'ENT+MF+Dent+ECT'!B14</f>
        <v>0</v>
      </c>
      <c r="E12" s="103">
        <f>(C12/C22)*100</f>
        <v>2</v>
      </c>
    </row>
    <row r="13" spans="1:5" ht="25" outlineLevel="1" x14ac:dyDescent="0.25">
      <c r="A13" s="92" t="s">
        <v>120</v>
      </c>
      <c r="B13" s="102">
        <f>ICU!B25</f>
        <v>0</v>
      </c>
      <c r="C13" s="102">
        <f>ICU!B24</f>
        <v>7</v>
      </c>
      <c r="D13" s="103">
        <f>ICU!B26</f>
        <v>0</v>
      </c>
      <c r="E13" s="103">
        <f>(C13/C22)*100</f>
        <v>2.3333333333333335</v>
      </c>
    </row>
    <row r="14" spans="1:5" ht="25" outlineLevel="1" x14ac:dyDescent="0.25">
      <c r="A14" s="92" t="s">
        <v>127</v>
      </c>
      <c r="B14" s="102">
        <f>'NSurg+NRad'!B16</f>
        <v>0</v>
      </c>
      <c r="C14" s="102">
        <f>'NSurg+NRad'!B15</f>
        <v>7</v>
      </c>
      <c r="D14" s="103">
        <f>'NSurg+NRad'!B17</f>
        <v>0</v>
      </c>
      <c r="E14" s="103">
        <f>(C14/C22)*100</f>
        <v>2.3333333333333335</v>
      </c>
    </row>
    <row r="15" spans="1:5" ht="25" outlineLevel="1" x14ac:dyDescent="0.25">
      <c r="A15" s="92" t="s">
        <v>128</v>
      </c>
      <c r="B15" s="102">
        <f>OBS!B25</f>
        <v>0</v>
      </c>
      <c r="C15" s="102">
        <f>OBS!B24</f>
        <v>16</v>
      </c>
      <c r="D15" s="103">
        <f>OBS!B26</f>
        <v>0</v>
      </c>
      <c r="E15" s="103">
        <f>(C15/C22)*100</f>
        <v>5.3333333333333339</v>
      </c>
    </row>
    <row r="16" spans="1:5" ht="25" outlineLevel="1" x14ac:dyDescent="0.25">
      <c r="A16" s="92" t="s">
        <v>140</v>
      </c>
      <c r="B16" s="102">
        <f>OPHTHAL!B12</f>
        <v>0</v>
      </c>
      <c r="C16" s="102">
        <f>OPHTHAL!B11</f>
        <v>4</v>
      </c>
      <c r="D16" s="103">
        <f>OPHTHAL!B13</f>
        <v>0</v>
      </c>
      <c r="E16" s="103">
        <f>(C16/C22)*100</f>
        <v>1.3333333333333335</v>
      </c>
    </row>
    <row r="17" spans="1:5" ht="25" outlineLevel="1" x14ac:dyDescent="0.25">
      <c r="A17" s="92" t="s">
        <v>145</v>
      </c>
      <c r="B17" s="102">
        <f>ORTHO!B11</f>
        <v>0</v>
      </c>
      <c r="C17" s="102">
        <f>ORTHO!B10</f>
        <v>2</v>
      </c>
      <c r="D17" s="103">
        <f>ORTHO!B12</f>
        <v>0</v>
      </c>
      <c r="E17" s="103">
        <f>(C17/C22)*100</f>
        <v>0.66666666666666674</v>
      </c>
    </row>
    <row r="18" spans="1:5" ht="25" outlineLevel="1" x14ac:dyDescent="0.25">
      <c r="A18" s="92" t="s">
        <v>154</v>
      </c>
      <c r="B18" s="102">
        <f>PAEDS!B32</f>
        <v>0</v>
      </c>
      <c r="C18" s="102">
        <f>PAEDS!B31</f>
        <v>16</v>
      </c>
      <c r="D18" s="103">
        <f>PAEDS!B33</f>
        <v>0</v>
      </c>
      <c r="E18" s="103">
        <f>(C18/C22)*100</f>
        <v>5.3333333333333339</v>
      </c>
    </row>
    <row r="19" spans="1:5" ht="25" outlineLevel="1" x14ac:dyDescent="0.25">
      <c r="A19" s="92" t="s">
        <v>160</v>
      </c>
      <c r="B19" s="102">
        <f>'Plastics+Burns'!B9</f>
        <v>0</v>
      </c>
      <c r="C19" s="102">
        <f>'Plastics+Burns'!B8</f>
        <v>3</v>
      </c>
      <c r="D19" s="103">
        <f>'Plastics+Burns'!B10</f>
        <v>0</v>
      </c>
      <c r="E19" s="103">
        <f>(C19/C22)*100</f>
        <v>1</v>
      </c>
    </row>
    <row r="20" spans="1:5" ht="25" outlineLevel="1" x14ac:dyDescent="0.25">
      <c r="A20" s="92" t="s">
        <v>165</v>
      </c>
      <c r="B20" s="102">
        <f>Thoracics!B16</f>
        <v>0</v>
      </c>
      <c r="C20" s="102">
        <f>Thoracics!B15</f>
        <v>7</v>
      </c>
      <c r="D20" s="103">
        <f>Thoracics!B17</f>
        <v>0</v>
      </c>
      <c r="E20" s="103">
        <f>(C20/C22)*100</f>
        <v>2.3333333333333335</v>
      </c>
    </row>
    <row r="21" spans="1:5" ht="26" outlineLevel="1" thickBot="1" x14ac:dyDescent="0.3">
      <c r="A21" s="96" t="s">
        <v>170</v>
      </c>
      <c r="B21" s="104">
        <f>'VASC+IntRad'!B15</f>
        <v>0</v>
      </c>
      <c r="C21" s="104">
        <f>'VASC+IntRad'!B14</f>
        <v>7</v>
      </c>
      <c r="D21" s="105">
        <f>'VASC+IntRad'!B16</f>
        <v>0</v>
      </c>
      <c r="E21" s="105">
        <f>(C21/C22)*100</f>
        <v>2.3333333333333335</v>
      </c>
    </row>
    <row r="22" spans="1:5" ht="28" x14ac:dyDescent="0.3">
      <c r="A22" s="93" t="s">
        <v>72</v>
      </c>
      <c r="B22" s="94">
        <f>SUM(B2:B21)</f>
        <v>0</v>
      </c>
      <c r="C22" s="94">
        <f>SUM(C2:C21)</f>
        <v>300</v>
      </c>
      <c r="D22" s="95">
        <f>(B22/C22)*100</f>
        <v>0</v>
      </c>
      <c r="E22" s="94">
        <v>100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2D091-3389-A54E-86CA-B70641CD609C}">
  <sheetPr codeName="Sheet2"/>
  <dimension ref="A1:E29"/>
  <sheetViews>
    <sheetView zoomScale="65" zoomScaleNormal="65" workbookViewId="0">
      <selection activeCell="A27" sqref="A27"/>
    </sheetView>
  </sheetViews>
  <sheetFormatPr baseColWidth="10" defaultRowHeight="18" x14ac:dyDescent="0.2"/>
  <cols>
    <col min="1" max="1" width="14.5" style="51" bestFit="1" customWidth="1"/>
    <col min="2" max="2" width="255.83203125" style="51" customWidth="1"/>
    <col min="3" max="3" width="12.1640625" style="51" bestFit="1" customWidth="1"/>
    <col min="4" max="4" width="9" style="51" hidden="1" customWidth="1"/>
    <col min="5" max="16384" width="10.83203125" style="51"/>
  </cols>
  <sheetData>
    <row r="1" spans="1:5" ht="23" x14ac:dyDescent="0.2">
      <c r="A1" s="80" t="s">
        <v>54</v>
      </c>
      <c r="B1" s="81"/>
      <c r="C1" s="82"/>
      <c r="E1" s="51" t="s">
        <v>197</v>
      </c>
    </row>
    <row r="2" spans="1:5" x14ac:dyDescent="0.2">
      <c r="A2" s="83" t="s">
        <v>55</v>
      </c>
      <c r="B2" s="83"/>
      <c r="C2" s="83"/>
    </row>
    <row r="3" spans="1:5" x14ac:dyDescent="0.2">
      <c r="A3" s="70" t="s">
        <v>233</v>
      </c>
      <c r="B3" s="70" t="s">
        <v>232</v>
      </c>
      <c r="C3" s="45"/>
      <c r="D3" s="51" t="b">
        <v>0</v>
      </c>
      <c r="E3" s="51">
        <v>75.900000000000006</v>
      </c>
    </row>
    <row r="4" spans="1:5" x14ac:dyDescent="0.2">
      <c r="A4" s="68" t="s">
        <v>455</v>
      </c>
      <c r="B4" s="68" t="s">
        <v>454</v>
      </c>
      <c r="C4" s="45"/>
      <c r="D4" s="51" t="b">
        <v>0</v>
      </c>
      <c r="E4" s="51">
        <v>77</v>
      </c>
    </row>
    <row r="5" spans="1:5" ht="38" x14ac:dyDescent="0.2">
      <c r="A5" s="68" t="s">
        <v>463</v>
      </c>
      <c r="B5" s="5" t="s">
        <v>462</v>
      </c>
      <c r="C5" s="45"/>
      <c r="D5" s="51" t="b">
        <v>0</v>
      </c>
      <c r="E5" s="51">
        <v>83.4</v>
      </c>
    </row>
    <row r="6" spans="1:5" ht="38" x14ac:dyDescent="0.2">
      <c r="A6" s="68" t="s">
        <v>507</v>
      </c>
      <c r="B6" s="5" t="s">
        <v>506</v>
      </c>
      <c r="C6" s="45"/>
      <c r="D6" s="51" t="b">
        <v>0</v>
      </c>
      <c r="E6" s="51">
        <v>87.2</v>
      </c>
    </row>
    <row r="7" spans="1:5" ht="19" x14ac:dyDescent="0.2">
      <c r="A7" s="68" t="s">
        <v>558</v>
      </c>
      <c r="B7" s="5" t="s">
        <v>557</v>
      </c>
      <c r="C7" s="45"/>
      <c r="D7" s="51" t="b">
        <v>0</v>
      </c>
      <c r="E7" s="51">
        <v>68.3</v>
      </c>
    </row>
    <row r="8" spans="1:5" ht="19" x14ac:dyDescent="0.2">
      <c r="A8" s="68" t="s">
        <v>564</v>
      </c>
      <c r="B8" s="5" t="s">
        <v>563</v>
      </c>
      <c r="C8" s="45"/>
      <c r="D8" s="51" t="b">
        <v>0</v>
      </c>
      <c r="E8" s="51">
        <v>85.1</v>
      </c>
    </row>
    <row r="9" spans="1:5" ht="38" x14ac:dyDescent="0.2">
      <c r="A9" s="68" t="s">
        <v>710</v>
      </c>
      <c r="B9" s="5" t="s">
        <v>709</v>
      </c>
      <c r="C9" s="45"/>
      <c r="D9" s="51" t="b">
        <v>0</v>
      </c>
      <c r="E9" s="51">
        <v>64.7</v>
      </c>
    </row>
    <row r="10" spans="1:5" ht="38" x14ac:dyDescent="0.2">
      <c r="A10" s="68" t="s">
        <v>721</v>
      </c>
      <c r="B10" s="5" t="s">
        <v>722</v>
      </c>
      <c r="C10" s="45"/>
      <c r="D10" s="51" t="b">
        <v>0</v>
      </c>
      <c r="E10" s="51">
        <v>79.900000000000006</v>
      </c>
    </row>
    <row r="11" spans="1:5" ht="19" x14ac:dyDescent="0.2">
      <c r="A11" s="68" t="s">
        <v>761</v>
      </c>
      <c r="B11" s="5" t="s">
        <v>760</v>
      </c>
      <c r="C11" s="45"/>
      <c r="D11" s="51" t="b">
        <v>0</v>
      </c>
      <c r="E11" s="51">
        <v>56.6</v>
      </c>
    </row>
    <row r="12" spans="1:5" x14ac:dyDescent="0.2">
      <c r="A12" s="83" t="s">
        <v>56</v>
      </c>
      <c r="B12" s="83"/>
      <c r="C12" s="84"/>
    </row>
    <row r="13" spans="1:5" x14ac:dyDescent="0.2">
      <c r="A13" s="68" t="s">
        <v>270</v>
      </c>
      <c r="B13" s="68" t="s">
        <v>269</v>
      </c>
      <c r="C13" s="45"/>
      <c r="D13" s="51" t="b">
        <v>0</v>
      </c>
      <c r="E13" s="51">
        <v>91.1</v>
      </c>
    </row>
    <row r="14" spans="1:5" x14ac:dyDescent="0.2">
      <c r="A14" s="68" t="s">
        <v>632</v>
      </c>
      <c r="B14" s="68" t="s">
        <v>631</v>
      </c>
      <c r="C14" s="45"/>
      <c r="D14" s="51" t="b">
        <v>0</v>
      </c>
      <c r="E14" s="51">
        <v>70.900000000000006</v>
      </c>
    </row>
    <row r="15" spans="1:5" x14ac:dyDescent="0.2">
      <c r="A15" s="68" t="s">
        <v>662</v>
      </c>
      <c r="B15" s="68" t="s">
        <v>661</v>
      </c>
      <c r="C15" s="45"/>
      <c r="D15" s="51" t="b">
        <v>0</v>
      </c>
      <c r="E15" s="51">
        <v>26</v>
      </c>
    </row>
    <row r="16" spans="1:5" ht="19" x14ac:dyDescent="0.2">
      <c r="A16" s="68" t="s">
        <v>689</v>
      </c>
      <c r="B16" s="5" t="s">
        <v>690</v>
      </c>
      <c r="C16" s="45"/>
      <c r="D16" s="51" t="b">
        <v>0</v>
      </c>
      <c r="E16" s="51">
        <v>55</v>
      </c>
    </row>
    <row r="17" spans="1:5" x14ac:dyDescent="0.2">
      <c r="A17" s="83" t="s">
        <v>57</v>
      </c>
      <c r="B17" s="83"/>
      <c r="C17" s="84"/>
    </row>
    <row r="18" spans="1:5" x14ac:dyDescent="0.2">
      <c r="A18" s="68" t="s">
        <v>193</v>
      </c>
      <c r="B18" s="68" t="s">
        <v>194</v>
      </c>
      <c r="C18" s="45"/>
      <c r="D18" s="51" t="b">
        <v>0</v>
      </c>
      <c r="E18" s="51">
        <v>55</v>
      </c>
    </row>
    <row r="19" spans="1:5" x14ac:dyDescent="0.2">
      <c r="A19" s="68" t="s">
        <v>276</v>
      </c>
      <c r="B19" s="68" t="s">
        <v>275</v>
      </c>
      <c r="C19" s="45"/>
      <c r="D19" s="51" t="b">
        <v>0</v>
      </c>
      <c r="E19" s="51">
        <v>60.6</v>
      </c>
    </row>
    <row r="20" spans="1:5" x14ac:dyDescent="0.2">
      <c r="A20" s="68" t="s">
        <v>391</v>
      </c>
      <c r="B20" s="68" t="s">
        <v>390</v>
      </c>
      <c r="C20" s="45"/>
      <c r="D20" s="51" t="b">
        <v>0</v>
      </c>
      <c r="E20" s="51">
        <v>62</v>
      </c>
    </row>
    <row r="21" spans="1:5" ht="38" x14ac:dyDescent="0.2">
      <c r="A21" s="68" t="s">
        <v>423</v>
      </c>
      <c r="B21" s="5" t="s">
        <v>422</v>
      </c>
      <c r="C21" s="45"/>
      <c r="D21" s="51" t="b">
        <v>0</v>
      </c>
      <c r="E21" s="51">
        <v>68.3</v>
      </c>
    </row>
    <row r="22" spans="1:5" ht="19" x14ac:dyDescent="0.2">
      <c r="A22" s="68" t="s">
        <v>644</v>
      </c>
      <c r="B22" s="5" t="s">
        <v>643</v>
      </c>
      <c r="C22" s="45"/>
      <c r="D22" s="51" t="b">
        <v>0</v>
      </c>
      <c r="E22" s="51">
        <v>32.4</v>
      </c>
    </row>
    <row r="23" spans="1:5" x14ac:dyDescent="0.2">
      <c r="A23" s="68" t="s">
        <v>646</v>
      </c>
      <c r="B23" s="68" t="s">
        <v>645</v>
      </c>
      <c r="C23" s="45"/>
      <c r="D23" s="51" t="b">
        <v>0</v>
      </c>
      <c r="E23" s="51">
        <v>5</v>
      </c>
    </row>
    <row r="24" spans="1:5" x14ac:dyDescent="0.2">
      <c r="A24" s="79" t="s">
        <v>58</v>
      </c>
      <c r="B24" s="79"/>
      <c r="C24" s="84"/>
    </row>
    <row r="25" spans="1:5" x14ac:dyDescent="0.2">
      <c r="A25" s="70" t="s">
        <v>345</v>
      </c>
      <c r="B25" s="70" t="s">
        <v>344</v>
      </c>
      <c r="C25" s="45"/>
      <c r="D25" s="51" t="b">
        <v>0</v>
      </c>
      <c r="E25" s="51">
        <v>60.5</v>
      </c>
    </row>
    <row r="27" spans="1:5" x14ac:dyDescent="0.2">
      <c r="A27" s="6" t="s">
        <v>762</v>
      </c>
      <c r="B27" s="6">
        <f>COUNTA(D3:D25)</f>
        <v>20</v>
      </c>
    </row>
    <row r="28" spans="1:5" x14ac:dyDescent="0.2">
      <c r="A28" s="6" t="s">
        <v>37</v>
      </c>
      <c r="B28" s="6">
        <f>COUNTIF(D3:D25, TRUE)</f>
        <v>0</v>
      </c>
    </row>
    <row r="29" spans="1:5" x14ac:dyDescent="0.2">
      <c r="A29" s="6" t="s">
        <v>38</v>
      </c>
      <c r="B29" s="52">
        <f>(B28/B27)*100</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37" r:id="rId3" name="Check Box 89">
              <controlPr defaultSize="0" autoFill="0" autoLine="0" autoPict="0">
                <anchor moveWithCells="1">
                  <from>
                    <xdr:col>2</xdr:col>
                    <xdr:colOff>292100</xdr:colOff>
                    <xdr:row>2</xdr:row>
                    <xdr:rowOff>25400</xdr:rowOff>
                  </from>
                  <to>
                    <xdr:col>2</xdr:col>
                    <xdr:colOff>533400</xdr:colOff>
                    <xdr:row>2</xdr:row>
                    <xdr:rowOff>228600</xdr:rowOff>
                  </to>
                </anchor>
              </controlPr>
            </control>
          </mc:Choice>
        </mc:AlternateContent>
        <mc:AlternateContent xmlns:mc="http://schemas.openxmlformats.org/markup-compatibility/2006">
          <mc:Choice Requires="x14">
            <control shapeId="2138" r:id="rId4" name="Check Box 90">
              <controlPr defaultSize="0" autoFill="0" autoLine="0" autoPict="0">
                <anchor moveWithCells="1">
                  <from>
                    <xdr:col>2</xdr:col>
                    <xdr:colOff>292100</xdr:colOff>
                    <xdr:row>3</xdr:row>
                    <xdr:rowOff>25400</xdr:rowOff>
                  </from>
                  <to>
                    <xdr:col>2</xdr:col>
                    <xdr:colOff>533400</xdr:colOff>
                    <xdr:row>3</xdr:row>
                    <xdr:rowOff>228600</xdr:rowOff>
                  </to>
                </anchor>
              </controlPr>
            </control>
          </mc:Choice>
        </mc:AlternateContent>
        <mc:AlternateContent xmlns:mc="http://schemas.openxmlformats.org/markup-compatibility/2006">
          <mc:Choice Requires="x14">
            <control shapeId="2139" r:id="rId5" name="Check Box 91">
              <controlPr defaultSize="0" autoFill="0" autoLine="0" autoPict="0">
                <anchor moveWithCells="1">
                  <from>
                    <xdr:col>2</xdr:col>
                    <xdr:colOff>292100</xdr:colOff>
                    <xdr:row>4</xdr:row>
                    <xdr:rowOff>25400</xdr:rowOff>
                  </from>
                  <to>
                    <xdr:col>2</xdr:col>
                    <xdr:colOff>533400</xdr:colOff>
                    <xdr:row>4</xdr:row>
                    <xdr:rowOff>228600</xdr:rowOff>
                  </to>
                </anchor>
              </controlPr>
            </control>
          </mc:Choice>
        </mc:AlternateContent>
        <mc:AlternateContent xmlns:mc="http://schemas.openxmlformats.org/markup-compatibility/2006">
          <mc:Choice Requires="x14">
            <control shapeId="2140" r:id="rId6" name="Check Box 92">
              <controlPr defaultSize="0" autoFill="0" autoLine="0" autoPict="0">
                <anchor moveWithCells="1">
                  <from>
                    <xdr:col>2</xdr:col>
                    <xdr:colOff>292100</xdr:colOff>
                    <xdr:row>5</xdr:row>
                    <xdr:rowOff>25400</xdr:rowOff>
                  </from>
                  <to>
                    <xdr:col>2</xdr:col>
                    <xdr:colOff>533400</xdr:colOff>
                    <xdr:row>5</xdr:row>
                    <xdr:rowOff>228600</xdr:rowOff>
                  </to>
                </anchor>
              </controlPr>
            </control>
          </mc:Choice>
        </mc:AlternateContent>
        <mc:AlternateContent xmlns:mc="http://schemas.openxmlformats.org/markup-compatibility/2006">
          <mc:Choice Requires="x14">
            <control shapeId="2141" r:id="rId7" name="Check Box 93">
              <controlPr defaultSize="0" autoFill="0" autoLine="0" autoPict="0">
                <anchor moveWithCells="1">
                  <from>
                    <xdr:col>2</xdr:col>
                    <xdr:colOff>292100</xdr:colOff>
                    <xdr:row>6</xdr:row>
                    <xdr:rowOff>25400</xdr:rowOff>
                  </from>
                  <to>
                    <xdr:col>2</xdr:col>
                    <xdr:colOff>533400</xdr:colOff>
                    <xdr:row>6</xdr:row>
                    <xdr:rowOff>228600</xdr:rowOff>
                  </to>
                </anchor>
              </controlPr>
            </control>
          </mc:Choice>
        </mc:AlternateContent>
        <mc:AlternateContent xmlns:mc="http://schemas.openxmlformats.org/markup-compatibility/2006">
          <mc:Choice Requires="x14">
            <control shapeId="2142" r:id="rId8" name="Check Box 94">
              <controlPr defaultSize="0" autoFill="0" autoLine="0" autoPict="0">
                <anchor moveWithCells="1">
                  <from>
                    <xdr:col>2</xdr:col>
                    <xdr:colOff>292100</xdr:colOff>
                    <xdr:row>7</xdr:row>
                    <xdr:rowOff>25400</xdr:rowOff>
                  </from>
                  <to>
                    <xdr:col>2</xdr:col>
                    <xdr:colOff>533400</xdr:colOff>
                    <xdr:row>7</xdr:row>
                    <xdr:rowOff>228600</xdr:rowOff>
                  </to>
                </anchor>
              </controlPr>
            </control>
          </mc:Choice>
        </mc:AlternateContent>
        <mc:AlternateContent xmlns:mc="http://schemas.openxmlformats.org/markup-compatibility/2006">
          <mc:Choice Requires="x14">
            <control shapeId="2143" r:id="rId9" name="Check Box 95">
              <controlPr defaultSize="0" autoFill="0" autoLine="0" autoPict="0">
                <anchor moveWithCells="1">
                  <from>
                    <xdr:col>2</xdr:col>
                    <xdr:colOff>292100</xdr:colOff>
                    <xdr:row>8</xdr:row>
                    <xdr:rowOff>25400</xdr:rowOff>
                  </from>
                  <to>
                    <xdr:col>2</xdr:col>
                    <xdr:colOff>533400</xdr:colOff>
                    <xdr:row>8</xdr:row>
                    <xdr:rowOff>228600</xdr:rowOff>
                  </to>
                </anchor>
              </controlPr>
            </control>
          </mc:Choice>
        </mc:AlternateContent>
        <mc:AlternateContent xmlns:mc="http://schemas.openxmlformats.org/markup-compatibility/2006">
          <mc:Choice Requires="x14">
            <control shapeId="2144" r:id="rId10" name="Check Box 96">
              <controlPr defaultSize="0" autoFill="0" autoLine="0" autoPict="0">
                <anchor moveWithCells="1">
                  <from>
                    <xdr:col>2</xdr:col>
                    <xdr:colOff>292100</xdr:colOff>
                    <xdr:row>9</xdr:row>
                    <xdr:rowOff>25400</xdr:rowOff>
                  </from>
                  <to>
                    <xdr:col>2</xdr:col>
                    <xdr:colOff>533400</xdr:colOff>
                    <xdr:row>9</xdr:row>
                    <xdr:rowOff>228600</xdr:rowOff>
                  </to>
                </anchor>
              </controlPr>
            </control>
          </mc:Choice>
        </mc:AlternateContent>
        <mc:AlternateContent xmlns:mc="http://schemas.openxmlformats.org/markup-compatibility/2006">
          <mc:Choice Requires="x14">
            <control shapeId="2145" r:id="rId11" name="Check Box 97">
              <controlPr defaultSize="0" autoFill="0" autoLine="0" autoPict="0">
                <anchor moveWithCells="1">
                  <from>
                    <xdr:col>2</xdr:col>
                    <xdr:colOff>292100</xdr:colOff>
                    <xdr:row>10</xdr:row>
                    <xdr:rowOff>25400</xdr:rowOff>
                  </from>
                  <to>
                    <xdr:col>2</xdr:col>
                    <xdr:colOff>533400</xdr:colOff>
                    <xdr:row>10</xdr:row>
                    <xdr:rowOff>228600</xdr:rowOff>
                  </to>
                </anchor>
              </controlPr>
            </control>
          </mc:Choice>
        </mc:AlternateContent>
        <mc:AlternateContent xmlns:mc="http://schemas.openxmlformats.org/markup-compatibility/2006">
          <mc:Choice Requires="x14">
            <control shapeId="2147" r:id="rId12" name="Check Box 99">
              <controlPr defaultSize="0" autoFill="0" autoLine="0" autoPict="0">
                <anchor moveWithCells="1">
                  <from>
                    <xdr:col>2</xdr:col>
                    <xdr:colOff>292100</xdr:colOff>
                    <xdr:row>12</xdr:row>
                    <xdr:rowOff>25400</xdr:rowOff>
                  </from>
                  <to>
                    <xdr:col>2</xdr:col>
                    <xdr:colOff>533400</xdr:colOff>
                    <xdr:row>12</xdr:row>
                    <xdr:rowOff>228600</xdr:rowOff>
                  </to>
                </anchor>
              </controlPr>
            </control>
          </mc:Choice>
        </mc:AlternateContent>
        <mc:AlternateContent xmlns:mc="http://schemas.openxmlformats.org/markup-compatibility/2006">
          <mc:Choice Requires="x14">
            <control shapeId="2148" r:id="rId13" name="Check Box 100">
              <controlPr defaultSize="0" autoFill="0" autoLine="0" autoPict="0">
                <anchor moveWithCells="1">
                  <from>
                    <xdr:col>2</xdr:col>
                    <xdr:colOff>292100</xdr:colOff>
                    <xdr:row>13</xdr:row>
                    <xdr:rowOff>25400</xdr:rowOff>
                  </from>
                  <to>
                    <xdr:col>2</xdr:col>
                    <xdr:colOff>533400</xdr:colOff>
                    <xdr:row>13</xdr:row>
                    <xdr:rowOff>228600</xdr:rowOff>
                  </to>
                </anchor>
              </controlPr>
            </control>
          </mc:Choice>
        </mc:AlternateContent>
        <mc:AlternateContent xmlns:mc="http://schemas.openxmlformats.org/markup-compatibility/2006">
          <mc:Choice Requires="x14">
            <control shapeId="2149" r:id="rId14" name="Check Box 101">
              <controlPr defaultSize="0" autoFill="0" autoLine="0" autoPict="0">
                <anchor moveWithCells="1">
                  <from>
                    <xdr:col>2</xdr:col>
                    <xdr:colOff>292100</xdr:colOff>
                    <xdr:row>14</xdr:row>
                    <xdr:rowOff>25400</xdr:rowOff>
                  </from>
                  <to>
                    <xdr:col>2</xdr:col>
                    <xdr:colOff>533400</xdr:colOff>
                    <xdr:row>14</xdr:row>
                    <xdr:rowOff>228600</xdr:rowOff>
                  </to>
                </anchor>
              </controlPr>
            </control>
          </mc:Choice>
        </mc:AlternateContent>
        <mc:AlternateContent xmlns:mc="http://schemas.openxmlformats.org/markup-compatibility/2006">
          <mc:Choice Requires="x14">
            <control shapeId="2150" r:id="rId15" name="Check Box 102">
              <controlPr defaultSize="0" autoFill="0" autoLine="0" autoPict="0">
                <anchor moveWithCells="1">
                  <from>
                    <xdr:col>2</xdr:col>
                    <xdr:colOff>292100</xdr:colOff>
                    <xdr:row>15</xdr:row>
                    <xdr:rowOff>25400</xdr:rowOff>
                  </from>
                  <to>
                    <xdr:col>2</xdr:col>
                    <xdr:colOff>533400</xdr:colOff>
                    <xdr:row>15</xdr:row>
                    <xdr:rowOff>228600</xdr:rowOff>
                  </to>
                </anchor>
              </controlPr>
            </control>
          </mc:Choice>
        </mc:AlternateContent>
        <mc:AlternateContent xmlns:mc="http://schemas.openxmlformats.org/markup-compatibility/2006">
          <mc:Choice Requires="x14">
            <control shapeId="2152" r:id="rId16" name="Check Box 104">
              <controlPr defaultSize="0" autoFill="0" autoLine="0" autoPict="0">
                <anchor moveWithCells="1">
                  <from>
                    <xdr:col>2</xdr:col>
                    <xdr:colOff>292100</xdr:colOff>
                    <xdr:row>17</xdr:row>
                    <xdr:rowOff>25400</xdr:rowOff>
                  </from>
                  <to>
                    <xdr:col>2</xdr:col>
                    <xdr:colOff>533400</xdr:colOff>
                    <xdr:row>17</xdr:row>
                    <xdr:rowOff>228600</xdr:rowOff>
                  </to>
                </anchor>
              </controlPr>
            </control>
          </mc:Choice>
        </mc:AlternateContent>
        <mc:AlternateContent xmlns:mc="http://schemas.openxmlformats.org/markup-compatibility/2006">
          <mc:Choice Requires="x14">
            <control shapeId="2153" r:id="rId17" name="Check Box 105">
              <controlPr defaultSize="0" autoFill="0" autoLine="0" autoPict="0">
                <anchor moveWithCells="1">
                  <from>
                    <xdr:col>2</xdr:col>
                    <xdr:colOff>292100</xdr:colOff>
                    <xdr:row>18</xdr:row>
                    <xdr:rowOff>25400</xdr:rowOff>
                  </from>
                  <to>
                    <xdr:col>2</xdr:col>
                    <xdr:colOff>533400</xdr:colOff>
                    <xdr:row>18</xdr:row>
                    <xdr:rowOff>228600</xdr:rowOff>
                  </to>
                </anchor>
              </controlPr>
            </control>
          </mc:Choice>
        </mc:AlternateContent>
        <mc:AlternateContent xmlns:mc="http://schemas.openxmlformats.org/markup-compatibility/2006">
          <mc:Choice Requires="x14">
            <control shapeId="2154" r:id="rId18" name="Check Box 106">
              <controlPr defaultSize="0" autoFill="0" autoLine="0" autoPict="0">
                <anchor moveWithCells="1">
                  <from>
                    <xdr:col>2</xdr:col>
                    <xdr:colOff>292100</xdr:colOff>
                    <xdr:row>19</xdr:row>
                    <xdr:rowOff>25400</xdr:rowOff>
                  </from>
                  <to>
                    <xdr:col>2</xdr:col>
                    <xdr:colOff>533400</xdr:colOff>
                    <xdr:row>19</xdr:row>
                    <xdr:rowOff>228600</xdr:rowOff>
                  </to>
                </anchor>
              </controlPr>
            </control>
          </mc:Choice>
        </mc:AlternateContent>
        <mc:AlternateContent xmlns:mc="http://schemas.openxmlformats.org/markup-compatibility/2006">
          <mc:Choice Requires="x14">
            <control shapeId="2155" r:id="rId19" name="Check Box 107">
              <controlPr defaultSize="0" autoFill="0" autoLine="0" autoPict="0">
                <anchor moveWithCells="1">
                  <from>
                    <xdr:col>2</xdr:col>
                    <xdr:colOff>292100</xdr:colOff>
                    <xdr:row>20</xdr:row>
                    <xdr:rowOff>25400</xdr:rowOff>
                  </from>
                  <to>
                    <xdr:col>2</xdr:col>
                    <xdr:colOff>533400</xdr:colOff>
                    <xdr:row>20</xdr:row>
                    <xdr:rowOff>228600</xdr:rowOff>
                  </to>
                </anchor>
              </controlPr>
            </control>
          </mc:Choice>
        </mc:AlternateContent>
        <mc:AlternateContent xmlns:mc="http://schemas.openxmlformats.org/markup-compatibility/2006">
          <mc:Choice Requires="x14">
            <control shapeId="2156" r:id="rId20" name="Check Box 108">
              <controlPr defaultSize="0" autoFill="0" autoLine="0" autoPict="0">
                <anchor moveWithCells="1">
                  <from>
                    <xdr:col>2</xdr:col>
                    <xdr:colOff>292100</xdr:colOff>
                    <xdr:row>21</xdr:row>
                    <xdr:rowOff>25400</xdr:rowOff>
                  </from>
                  <to>
                    <xdr:col>2</xdr:col>
                    <xdr:colOff>533400</xdr:colOff>
                    <xdr:row>21</xdr:row>
                    <xdr:rowOff>228600</xdr:rowOff>
                  </to>
                </anchor>
              </controlPr>
            </control>
          </mc:Choice>
        </mc:AlternateContent>
        <mc:AlternateContent xmlns:mc="http://schemas.openxmlformats.org/markup-compatibility/2006">
          <mc:Choice Requires="x14">
            <control shapeId="2157" r:id="rId21" name="Check Box 109">
              <controlPr defaultSize="0" autoFill="0" autoLine="0" autoPict="0">
                <anchor moveWithCells="1">
                  <from>
                    <xdr:col>2</xdr:col>
                    <xdr:colOff>292100</xdr:colOff>
                    <xdr:row>22</xdr:row>
                    <xdr:rowOff>25400</xdr:rowOff>
                  </from>
                  <to>
                    <xdr:col>2</xdr:col>
                    <xdr:colOff>533400</xdr:colOff>
                    <xdr:row>22</xdr:row>
                    <xdr:rowOff>228600</xdr:rowOff>
                  </to>
                </anchor>
              </controlPr>
            </control>
          </mc:Choice>
        </mc:AlternateContent>
        <mc:AlternateContent xmlns:mc="http://schemas.openxmlformats.org/markup-compatibility/2006">
          <mc:Choice Requires="x14">
            <control shapeId="2159" r:id="rId22" name="Check Box 111">
              <controlPr defaultSize="0" autoFill="0" autoLine="0" autoPict="0">
                <anchor moveWithCells="1">
                  <from>
                    <xdr:col>2</xdr:col>
                    <xdr:colOff>292100</xdr:colOff>
                    <xdr:row>24</xdr:row>
                    <xdr:rowOff>25400</xdr:rowOff>
                  </from>
                  <to>
                    <xdr:col>2</xdr:col>
                    <xdr:colOff>533400</xdr:colOff>
                    <xdr:row>24</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06E2-3015-7441-94E2-411F6CC34E06}">
  <sheetPr codeName="Sheet3"/>
  <dimension ref="A1:E30"/>
  <sheetViews>
    <sheetView tabSelected="1" zoomScale="65" zoomScaleNormal="75" workbookViewId="0">
      <selection activeCell="B57" sqref="B57"/>
    </sheetView>
  </sheetViews>
  <sheetFormatPr baseColWidth="10" defaultRowHeight="18" x14ac:dyDescent="0.2"/>
  <cols>
    <col min="1" max="1" width="15" style="51" bestFit="1" customWidth="1"/>
    <col min="2" max="2" width="255.83203125" style="51" bestFit="1" customWidth="1"/>
    <col min="3" max="3" width="12.1640625" style="51" bestFit="1" customWidth="1"/>
    <col min="4" max="4" width="8.5" style="51" hidden="1" customWidth="1"/>
    <col min="5" max="16384" width="10.83203125" style="51"/>
  </cols>
  <sheetData>
    <row r="1" spans="1:5" ht="23" x14ac:dyDescent="0.2">
      <c r="A1" s="109" t="s">
        <v>59</v>
      </c>
      <c r="B1" s="110"/>
      <c r="C1" s="111"/>
      <c r="E1" s="51" t="s">
        <v>196</v>
      </c>
    </row>
    <row r="2" spans="1:5" ht="21" customHeight="1" x14ac:dyDescent="0.2">
      <c r="A2" s="112" t="s">
        <v>3</v>
      </c>
      <c r="B2" s="112"/>
      <c r="C2" s="112"/>
    </row>
    <row r="3" spans="1:5" ht="21" customHeight="1" x14ac:dyDescent="0.2">
      <c r="A3" s="39" t="s">
        <v>239</v>
      </c>
      <c r="B3" s="39" t="s">
        <v>238</v>
      </c>
      <c r="C3" s="22"/>
      <c r="D3" s="51" t="b">
        <v>0</v>
      </c>
      <c r="E3" s="51">
        <v>35.5</v>
      </c>
    </row>
    <row r="4" spans="1:5" x14ac:dyDescent="0.2">
      <c r="A4" s="39" t="s">
        <v>383</v>
      </c>
      <c r="B4" s="39" t="s">
        <v>382</v>
      </c>
      <c r="C4" s="22"/>
      <c r="D4" s="51" t="b">
        <v>0</v>
      </c>
      <c r="E4" s="51">
        <v>66</v>
      </c>
    </row>
    <row r="5" spans="1:5" x14ac:dyDescent="0.2">
      <c r="A5" s="39" t="s">
        <v>437</v>
      </c>
      <c r="B5" s="39" t="s">
        <v>436</v>
      </c>
      <c r="C5" s="22"/>
      <c r="D5" s="51" t="b">
        <v>0</v>
      </c>
      <c r="E5" s="51">
        <v>58.5</v>
      </c>
    </row>
    <row r="6" spans="1:5" x14ac:dyDescent="0.2">
      <c r="A6" s="39" t="s">
        <v>676</v>
      </c>
      <c r="B6" s="68" t="s">
        <v>675</v>
      </c>
      <c r="C6" s="22"/>
      <c r="D6" s="51" t="b">
        <v>0</v>
      </c>
      <c r="E6" s="51">
        <v>90</v>
      </c>
    </row>
    <row r="7" spans="1:5" x14ac:dyDescent="0.2">
      <c r="A7" s="39" t="s">
        <v>698</v>
      </c>
      <c r="B7" s="68" t="s">
        <v>697</v>
      </c>
      <c r="C7" s="22"/>
      <c r="D7" s="51" t="b">
        <v>0</v>
      </c>
      <c r="E7" s="51">
        <v>55</v>
      </c>
    </row>
    <row r="8" spans="1:5" x14ac:dyDescent="0.2">
      <c r="A8" s="112" t="s">
        <v>0</v>
      </c>
      <c r="B8" s="112"/>
      <c r="C8" s="112"/>
    </row>
    <row r="9" spans="1:5" ht="19" x14ac:dyDescent="0.2">
      <c r="A9" s="39" t="s">
        <v>241</v>
      </c>
      <c r="B9" s="5" t="s">
        <v>195</v>
      </c>
      <c r="C9" s="22"/>
      <c r="D9" s="51" t="b">
        <v>0</v>
      </c>
      <c r="E9" s="51">
        <v>61.8</v>
      </c>
    </row>
    <row r="10" spans="1:5" ht="38" x14ac:dyDescent="0.2">
      <c r="A10" s="39" t="s">
        <v>413</v>
      </c>
      <c r="B10" s="5" t="s">
        <v>412</v>
      </c>
      <c r="C10" s="22"/>
      <c r="D10" s="51" t="b">
        <v>0</v>
      </c>
      <c r="E10" s="51">
        <v>80.099999999999994</v>
      </c>
    </row>
    <row r="11" spans="1:5" ht="21" customHeight="1" x14ac:dyDescent="0.2">
      <c r="A11" s="39" t="s">
        <v>451</v>
      </c>
      <c r="B11" s="39" t="s">
        <v>450</v>
      </c>
      <c r="C11" s="22"/>
      <c r="D11" s="51" t="b">
        <v>0</v>
      </c>
      <c r="E11" s="51">
        <v>83.4</v>
      </c>
    </row>
    <row r="12" spans="1:5" ht="39" customHeight="1" x14ac:dyDescent="0.2">
      <c r="A12" s="39" t="s">
        <v>550</v>
      </c>
      <c r="B12" s="5" t="s">
        <v>549</v>
      </c>
      <c r="C12" s="22"/>
      <c r="D12" s="51" t="b">
        <v>0</v>
      </c>
      <c r="E12" s="51">
        <v>46.7</v>
      </c>
    </row>
    <row r="13" spans="1:5" ht="19" customHeight="1" x14ac:dyDescent="0.2">
      <c r="A13" s="39" t="s">
        <v>615</v>
      </c>
      <c r="B13" s="68" t="s">
        <v>614</v>
      </c>
      <c r="C13" s="22"/>
      <c r="D13" s="51" t="b">
        <v>0</v>
      </c>
      <c r="E13" s="51">
        <v>50.3</v>
      </c>
    </row>
    <row r="14" spans="1:5" x14ac:dyDescent="0.2">
      <c r="A14" s="112" t="s">
        <v>1</v>
      </c>
      <c r="B14" s="112"/>
      <c r="C14" s="112"/>
    </row>
    <row r="15" spans="1:5" x14ac:dyDescent="0.2">
      <c r="A15" s="39" t="s">
        <v>264</v>
      </c>
      <c r="B15" s="39" t="s">
        <v>263</v>
      </c>
      <c r="C15" s="22"/>
      <c r="D15" s="51" t="b">
        <v>0</v>
      </c>
      <c r="E15" s="51">
        <v>44.6</v>
      </c>
    </row>
    <row r="16" spans="1:5" x14ac:dyDescent="0.2">
      <c r="A16" s="39" t="s">
        <v>417</v>
      </c>
      <c r="B16" s="39" t="s">
        <v>416</v>
      </c>
      <c r="C16" s="22"/>
      <c r="D16" s="51" t="b">
        <v>0</v>
      </c>
      <c r="E16" s="51">
        <v>50.3</v>
      </c>
    </row>
    <row r="17" spans="1:5" ht="38" x14ac:dyDescent="0.2">
      <c r="A17" s="39" t="s">
        <v>421</v>
      </c>
      <c r="B17" s="5" t="s">
        <v>420</v>
      </c>
      <c r="C17" s="22"/>
      <c r="D17" s="51" t="b">
        <v>0</v>
      </c>
      <c r="E17" s="51">
        <v>90.7</v>
      </c>
    </row>
    <row r="18" spans="1:5" x14ac:dyDescent="0.2">
      <c r="A18" s="39" t="s">
        <v>511</v>
      </c>
      <c r="B18" s="41" t="s">
        <v>510</v>
      </c>
      <c r="C18" s="22"/>
      <c r="D18" s="51" t="b">
        <v>0</v>
      </c>
      <c r="E18" s="51">
        <v>43.4</v>
      </c>
    </row>
    <row r="19" spans="1:5" x14ac:dyDescent="0.2">
      <c r="A19" s="39" t="s">
        <v>654</v>
      </c>
      <c r="B19" s="68" t="s">
        <v>653</v>
      </c>
      <c r="C19" s="22"/>
      <c r="D19" s="51" t="b">
        <v>0</v>
      </c>
      <c r="E19" s="51">
        <v>46</v>
      </c>
    </row>
    <row r="20" spans="1:5" x14ac:dyDescent="0.2">
      <c r="A20" s="106" t="s">
        <v>2</v>
      </c>
      <c r="B20" s="107"/>
      <c r="C20" s="108"/>
    </row>
    <row r="21" spans="1:5" x14ac:dyDescent="0.2">
      <c r="A21" s="39" t="s">
        <v>256</v>
      </c>
      <c r="B21" s="39" t="s">
        <v>240</v>
      </c>
      <c r="C21" s="22"/>
      <c r="D21" s="51" t="b">
        <v>0</v>
      </c>
      <c r="E21" s="51">
        <v>61</v>
      </c>
    </row>
    <row r="22" spans="1:5" x14ac:dyDescent="0.2">
      <c r="A22" s="39" t="s">
        <v>329</v>
      </c>
      <c r="B22" s="39" t="s">
        <v>328</v>
      </c>
      <c r="C22" s="22"/>
      <c r="D22" s="51" t="b">
        <v>0</v>
      </c>
      <c r="E22" s="51">
        <v>81.599999999999994</v>
      </c>
    </row>
    <row r="23" spans="1:5" x14ac:dyDescent="0.2">
      <c r="A23" s="39" t="s">
        <v>532</v>
      </c>
      <c r="B23" s="41" t="s">
        <v>531</v>
      </c>
      <c r="C23" s="22"/>
      <c r="D23" s="51" t="b">
        <v>0</v>
      </c>
      <c r="E23" s="51">
        <v>42.9</v>
      </c>
    </row>
    <row r="24" spans="1:5" ht="38" x14ac:dyDescent="0.2">
      <c r="A24" s="39" t="s">
        <v>562</v>
      </c>
      <c r="B24" s="5" t="s">
        <v>561</v>
      </c>
      <c r="C24" s="22"/>
      <c r="D24" s="51" t="b">
        <v>0</v>
      </c>
      <c r="E24" s="51">
        <v>69.3</v>
      </c>
    </row>
    <row r="25" spans="1:5" x14ac:dyDescent="0.2">
      <c r="A25" s="39" t="s">
        <v>650</v>
      </c>
      <c r="B25" s="68" t="s">
        <v>649</v>
      </c>
      <c r="C25" s="22"/>
      <c r="D25" s="51" t="b">
        <v>0</v>
      </c>
      <c r="E25" s="51">
        <v>55</v>
      </c>
    </row>
    <row r="26" spans="1:5" x14ac:dyDescent="0.2">
      <c r="A26" s="39" t="s">
        <v>682</v>
      </c>
      <c r="B26" s="41" t="s">
        <v>681</v>
      </c>
      <c r="C26" s="22"/>
      <c r="D26" s="51" t="b">
        <v>0</v>
      </c>
      <c r="E26" s="51">
        <v>11</v>
      </c>
    </row>
    <row r="28" spans="1:5" x14ac:dyDescent="0.2">
      <c r="A28" s="6" t="s">
        <v>762</v>
      </c>
      <c r="B28" s="6">
        <f>COUNTA(D3:D26)</f>
        <v>21</v>
      </c>
    </row>
    <row r="29" spans="1:5" x14ac:dyDescent="0.2">
      <c r="A29" s="6" t="s">
        <v>37</v>
      </c>
      <c r="B29" s="6">
        <f>COUNTIF(D3:D26, TRUE)</f>
        <v>0</v>
      </c>
    </row>
    <row r="30" spans="1:5" x14ac:dyDescent="0.2">
      <c r="A30" s="6" t="s">
        <v>38</v>
      </c>
      <c r="B30" s="52">
        <f>(B29/B28)*100</f>
        <v>0</v>
      </c>
    </row>
  </sheetData>
  <mergeCells count="5">
    <mergeCell ref="A20:C20"/>
    <mergeCell ref="A1:C1"/>
    <mergeCell ref="A2:C2"/>
    <mergeCell ref="A8:C8"/>
    <mergeCell ref="A14:C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52" r:id="rId3" name="Check Box 80">
              <controlPr defaultSize="0" autoFill="0" autoLine="0" autoPict="0">
                <anchor moveWithCells="1">
                  <from>
                    <xdr:col>2</xdr:col>
                    <xdr:colOff>355600</xdr:colOff>
                    <xdr:row>2</xdr:row>
                    <xdr:rowOff>38100</xdr:rowOff>
                  </from>
                  <to>
                    <xdr:col>2</xdr:col>
                    <xdr:colOff>609600</xdr:colOff>
                    <xdr:row>2</xdr:row>
                    <xdr:rowOff>215900</xdr:rowOff>
                  </to>
                </anchor>
              </controlPr>
            </control>
          </mc:Choice>
        </mc:AlternateContent>
        <mc:AlternateContent xmlns:mc="http://schemas.openxmlformats.org/markup-compatibility/2006">
          <mc:Choice Requires="x14">
            <control shapeId="3153" r:id="rId4" name="Check Box 81">
              <controlPr defaultSize="0" autoFill="0" autoLine="0" autoPict="0">
                <anchor moveWithCells="1">
                  <from>
                    <xdr:col>2</xdr:col>
                    <xdr:colOff>355600</xdr:colOff>
                    <xdr:row>3</xdr:row>
                    <xdr:rowOff>38100</xdr:rowOff>
                  </from>
                  <to>
                    <xdr:col>2</xdr:col>
                    <xdr:colOff>609600</xdr:colOff>
                    <xdr:row>3</xdr:row>
                    <xdr:rowOff>215900</xdr:rowOff>
                  </to>
                </anchor>
              </controlPr>
            </control>
          </mc:Choice>
        </mc:AlternateContent>
        <mc:AlternateContent xmlns:mc="http://schemas.openxmlformats.org/markup-compatibility/2006">
          <mc:Choice Requires="x14">
            <control shapeId="3154" r:id="rId5" name="Check Box 82">
              <controlPr defaultSize="0" autoFill="0" autoLine="0" autoPict="0">
                <anchor moveWithCells="1">
                  <from>
                    <xdr:col>2</xdr:col>
                    <xdr:colOff>355600</xdr:colOff>
                    <xdr:row>4</xdr:row>
                    <xdr:rowOff>38100</xdr:rowOff>
                  </from>
                  <to>
                    <xdr:col>2</xdr:col>
                    <xdr:colOff>609600</xdr:colOff>
                    <xdr:row>4</xdr:row>
                    <xdr:rowOff>215900</xdr:rowOff>
                  </to>
                </anchor>
              </controlPr>
            </control>
          </mc:Choice>
        </mc:AlternateContent>
        <mc:AlternateContent xmlns:mc="http://schemas.openxmlformats.org/markup-compatibility/2006">
          <mc:Choice Requires="x14">
            <control shapeId="3155" r:id="rId6" name="Check Box 83">
              <controlPr defaultSize="0" autoFill="0" autoLine="0" autoPict="0">
                <anchor moveWithCells="1">
                  <from>
                    <xdr:col>2</xdr:col>
                    <xdr:colOff>355600</xdr:colOff>
                    <xdr:row>5</xdr:row>
                    <xdr:rowOff>38100</xdr:rowOff>
                  </from>
                  <to>
                    <xdr:col>2</xdr:col>
                    <xdr:colOff>609600</xdr:colOff>
                    <xdr:row>5</xdr:row>
                    <xdr:rowOff>215900</xdr:rowOff>
                  </to>
                </anchor>
              </controlPr>
            </control>
          </mc:Choice>
        </mc:AlternateContent>
        <mc:AlternateContent xmlns:mc="http://schemas.openxmlformats.org/markup-compatibility/2006">
          <mc:Choice Requires="x14">
            <control shapeId="3156" r:id="rId7" name="Check Box 84">
              <controlPr defaultSize="0" autoFill="0" autoLine="0" autoPict="0">
                <anchor moveWithCells="1">
                  <from>
                    <xdr:col>2</xdr:col>
                    <xdr:colOff>355600</xdr:colOff>
                    <xdr:row>6</xdr:row>
                    <xdr:rowOff>38100</xdr:rowOff>
                  </from>
                  <to>
                    <xdr:col>2</xdr:col>
                    <xdr:colOff>609600</xdr:colOff>
                    <xdr:row>6</xdr:row>
                    <xdr:rowOff>215900</xdr:rowOff>
                  </to>
                </anchor>
              </controlPr>
            </control>
          </mc:Choice>
        </mc:AlternateContent>
        <mc:AlternateContent xmlns:mc="http://schemas.openxmlformats.org/markup-compatibility/2006">
          <mc:Choice Requires="x14">
            <control shapeId="3157" r:id="rId8" name="Check Box 85">
              <controlPr defaultSize="0" autoFill="0" autoLine="0" autoPict="0">
                <anchor moveWithCells="1">
                  <from>
                    <xdr:col>2</xdr:col>
                    <xdr:colOff>355600</xdr:colOff>
                    <xdr:row>8</xdr:row>
                    <xdr:rowOff>38100</xdr:rowOff>
                  </from>
                  <to>
                    <xdr:col>2</xdr:col>
                    <xdr:colOff>609600</xdr:colOff>
                    <xdr:row>8</xdr:row>
                    <xdr:rowOff>215900</xdr:rowOff>
                  </to>
                </anchor>
              </controlPr>
            </control>
          </mc:Choice>
        </mc:AlternateContent>
        <mc:AlternateContent xmlns:mc="http://schemas.openxmlformats.org/markup-compatibility/2006">
          <mc:Choice Requires="x14">
            <control shapeId="3158" r:id="rId9" name="Check Box 86">
              <controlPr defaultSize="0" autoFill="0" autoLine="0" autoPict="0">
                <anchor moveWithCells="1">
                  <from>
                    <xdr:col>2</xdr:col>
                    <xdr:colOff>355600</xdr:colOff>
                    <xdr:row>9</xdr:row>
                    <xdr:rowOff>152400</xdr:rowOff>
                  </from>
                  <to>
                    <xdr:col>2</xdr:col>
                    <xdr:colOff>609600</xdr:colOff>
                    <xdr:row>9</xdr:row>
                    <xdr:rowOff>330200</xdr:rowOff>
                  </to>
                </anchor>
              </controlPr>
            </control>
          </mc:Choice>
        </mc:AlternateContent>
        <mc:AlternateContent xmlns:mc="http://schemas.openxmlformats.org/markup-compatibility/2006">
          <mc:Choice Requires="x14">
            <control shapeId="3159" r:id="rId10" name="Check Box 87">
              <controlPr defaultSize="0" autoFill="0" autoLine="0" autoPict="0">
                <anchor moveWithCells="1">
                  <from>
                    <xdr:col>2</xdr:col>
                    <xdr:colOff>355600</xdr:colOff>
                    <xdr:row>10</xdr:row>
                    <xdr:rowOff>38100</xdr:rowOff>
                  </from>
                  <to>
                    <xdr:col>2</xdr:col>
                    <xdr:colOff>609600</xdr:colOff>
                    <xdr:row>10</xdr:row>
                    <xdr:rowOff>215900</xdr:rowOff>
                  </to>
                </anchor>
              </controlPr>
            </control>
          </mc:Choice>
        </mc:AlternateContent>
        <mc:AlternateContent xmlns:mc="http://schemas.openxmlformats.org/markup-compatibility/2006">
          <mc:Choice Requires="x14">
            <control shapeId="3160" r:id="rId11" name="Check Box 88">
              <controlPr defaultSize="0" autoFill="0" autoLine="0" autoPict="0">
                <anchor moveWithCells="1">
                  <from>
                    <xdr:col>2</xdr:col>
                    <xdr:colOff>355600</xdr:colOff>
                    <xdr:row>11</xdr:row>
                    <xdr:rowOff>177800</xdr:rowOff>
                  </from>
                  <to>
                    <xdr:col>2</xdr:col>
                    <xdr:colOff>609600</xdr:colOff>
                    <xdr:row>11</xdr:row>
                    <xdr:rowOff>355600</xdr:rowOff>
                  </to>
                </anchor>
              </controlPr>
            </control>
          </mc:Choice>
        </mc:AlternateContent>
        <mc:AlternateContent xmlns:mc="http://schemas.openxmlformats.org/markup-compatibility/2006">
          <mc:Choice Requires="x14">
            <control shapeId="3161" r:id="rId12" name="Check Box 89">
              <controlPr defaultSize="0" autoFill="0" autoLine="0" autoPict="0">
                <anchor moveWithCells="1">
                  <from>
                    <xdr:col>2</xdr:col>
                    <xdr:colOff>355600</xdr:colOff>
                    <xdr:row>12</xdr:row>
                    <xdr:rowOff>38100</xdr:rowOff>
                  </from>
                  <to>
                    <xdr:col>2</xdr:col>
                    <xdr:colOff>609600</xdr:colOff>
                    <xdr:row>12</xdr:row>
                    <xdr:rowOff>215900</xdr:rowOff>
                  </to>
                </anchor>
              </controlPr>
            </control>
          </mc:Choice>
        </mc:AlternateContent>
        <mc:AlternateContent xmlns:mc="http://schemas.openxmlformats.org/markup-compatibility/2006">
          <mc:Choice Requires="x14">
            <control shapeId="3162" r:id="rId13" name="Check Box 90">
              <controlPr defaultSize="0" autoFill="0" autoLine="0" autoPict="0">
                <anchor moveWithCells="1">
                  <from>
                    <xdr:col>2</xdr:col>
                    <xdr:colOff>355600</xdr:colOff>
                    <xdr:row>14</xdr:row>
                    <xdr:rowOff>38100</xdr:rowOff>
                  </from>
                  <to>
                    <xdr:col>2</xdr:col>
                    <xdr:colOff>609600</xdr:colOff>
                    <xdr:row>14</xdr:row>
                    <xdr:rowOff>215900</xdr:rowOff>
                  </to>
                </anchor>
              </controlPr>
            </control>
          </mc:Choice>
        </mc:AlternateContent>
        <mc:AlternateContent xmlns:mc="http://schemas.openxmlformats.org/markup-compatibility/2006">
          <mc:Choice Requires="x14">
            <control shapeId="3163" r:id="rId14" name="Check Box 91">
              <controlPr defaultSize="0" autoFill="0" autoLine="0" autoPict="0">
                <anchor moveWithCells="1">
                  <from>
                    <xdr:col>2</xdr:col>
                    <xdr:colOff>355600</xdr:colOff>
                    <xdr:row>15</xdr:row>
                    <xdr:rowOff>38100</xdr:rowOff>
                  </from>
                  <to>
                    <xdr:col>2</xdr:col>
                    <xdr:colOff>609600</xdr:colOff>
                    <xdr:row>15</xdr:row>
                    <xdr:rowOff>215900</xdr:rowOff>
                  </to>
                </anchor>
              </controlPr>
            </control>
          </mc:Choice>
        </mc:AlternateContent>
        <mc:AlternateContent xmlns:mc="http://schemas.openxmlformats.org/markup-compatibility/2006">
          <mc:Choice Requires="x14">
            <control shapeId="3164" r:id="rId15" name="Check Box 92">
              <controlPr defaultSize="0" autoFill="0" autoLine="0" autoPict="0">
                <anchor moveWithCells="1">
                  <from>
                    <xdr:col>2</xdr:col>
                    <xdr:colOff>355600</xdr:colOff>
                    <xdr:row>16</xdr:row>
                    <xdr:rowOff>139700</xdr:rowOff>
                  </from>
                  <to>
                    <xdr:col>2</xdr:col>
                    <xdr:colOff>609600</xdr:colOff>
                    <xdr:row>16</xdr:row>
                    <xdr:rowOff>317500</xdr:rowOff>
                  </to>
                </anchor>
              </controlPr>
            </control>
          </mc:Choice>
        </mc:AlternateContent>
        <mc:AlternateContent xmlns:mc="http://schemas.openxmlformats.org/markup-compatibility/2006">
          <mc:Choice Requires="x14">
            <control shapeId="3165" r:id="rId16" name="Check Box 93">
              <controlPr defaultSize="0" autoFill="0" autoLine="0" autoPict="0">
                <anchor moveWithCells="1">
                  <from>
                    <xdr:col>2</xdr:col>
                    <xdr:colOff>355600</xdr:colOff>
                    <xdr:row>17</xdr:row>
                    <xdr:rowOff>38100</xdr:rowOff>
                  </from>
                  <to>
                    <xdr:col>2</xdr:col>
                    <xdr:colOff>609600</xdr:colOff>
                    <xdr:row>17</xdr:row>
                    <xdr:rowOff>215900</xdr:rowOff>
                  </to>
                </anchor>
              </controlPr>
            </control>
          </mc:Choice>
        </mc:AlternateContent>
        <mc:AlternateContent xmlns:mc="http://schemas.openxmlformats.org/markup-compatibility/2006">
          <mc:Choice Requires="x14">
            <control shapeId="3166" r:id="rId17" name="Check Box 94">
              <controlPr defaultSize="0" autoFill="0" autoLine="0" autoPict="0">
                <anchor moveWithCells="1">
                  <from>
                    <xdr:col>2</xdr:col>
                    <xdr:colOff>355600</xdr:colOff>
                    <xdr:row>18</xdr:row>
                    <xdr:rowOff>38100</xdr:rowOff>
                  </from>
                  <to>
                    <xdr:col>2</xdr:col>
                    <xdr:colOff>609600</xdr:colOff>
                    <xdr:row>18</xdr:row>
                    <xdr:rowOff>215900</xdr:rowOff>
                  </to>
                </anchor>
              </controlPr>
            </control>
          </mc:Choice>
        </mc:AlternateContent>
        <mc:AlternateContent xmlns:mc="http://schemas.openxmlformats.org/markup-compatibility/2006">
          <mc:Choice Requires="x14">
            <control shapeId="3167" r:id="rId18" name="Check Box 95">
              <controlPr defaultSize="0" autoFill="0" autoLine="0" autoPict="0">
                <anchor moveWithCells="1">
                  <from>
                    <xdr:col>2</xdr:col>
                    <xdr:colOff>355600</xdr:colOff>
                    <xdr:row>20</xdr:row>
                    <xdr:rowOff>38100</xdr:rowOff>
                  </from>
                  <to>
                    <xdr:col>2</xdr:col>
                    <xdr:colOff>609600</xdr:colOff>
                    <xdr:row>20</xdr:row>
                    <xdr:rowOff>215900</xdr:rowOff>
                  </to>
                </anchor>
              </controlPr>
            </control>
          </mc:Choice>
        </mc:AlternateContent>
        <mc:AlternateContent xmlns:mc="http://schemas.openxmlformats.org/markup-compatibility/2006">
          <mc:Choice Requires="x14">
            <control shapeId="3168" r:id="rId19" name="Check Box 96">
              <controlPr defaultSize="0" autoFill="0" autoLine="0" autoPict="0">
                <anchor moveWithCells="1">
                  <from>
                    <xdr:col>2</xdr:col>
                    <xdr:colOff>355600</xdr:colOff>
                    <xdr:row>21</xdr:row>
                    <xdr:rowOff>38100</xdr:rowOff>
                  </from>
                  <to>
                    <xdr:col>2</xdr:col>
                    <xdr:colOff>609600</xdr:colOff>
                    <xdr:row>21</xdr:row>
                    <xdr:rowOff>215900</xdr:rowOff>
                  </to>
                </anchor>
              </controlPr>
            </control>
          </mc:Choice>
        </mc:AlternateContent>
        <mc:AlternateContent xmlns:mc="http://schemas.openxmlformats.org/markup-compatibility/2006">
          <mc:Choice Requires="x14">
            <control shapeId="3169" r:id="rId20" name="Check Box 97">
              <controlPr defaultSize="0" autoFill="0" autoLine="0" autoPict="0">
                <anchor moveWithCells="1">
                  <from>
                    <xdr:col>2</xdr:col>
                    <xdr:colOff>355600</xdr:colOff>
                    <xdr:row>22</xdr:row>
                    <xdr:rowOff>38100</xdr:rowOff>
                  </from>
                  <to>
                    <xdr:col>2</xdr:col>
                    <xdr:colOff>609600</xdr:colOff>
                    <xdr:row>22</xdr:row>
                    <xdr:rowOff>215900</xdr:rowOff>
                  </to>
                </anchor>
              </controlPr>
            </control>
          </mc:Choice>
        </mc:AlternateContent>
        <mc:AlternateContent xmlns:mc="http://schemas.openxmlformats.org/markup-compatibility/2006">
          <mc:Choice Requires="x14">
            <control shapeId="3170" r:id="rId21" name="Check Box 98">
              <controlPr defaultSize="0" autoFill="0" autoLine="0" autoPict="0">
                <anchor moveWithCells="1">
                  <from>
                    <xdr:col>2</xdr:col>
                    <xdr:colOff>355600</xdr:colOff>
                    <xdr:row>23</xdr:row>
                    <xdr:rowOff>152400</xdr:rowOff>
                  </from>
                  <to>
                    <xdr:col>2</xdr:col>
                    <xdr:colOff>609600</xdr:colOff>
                    <xdr:row>23</xdr:row>
                    <xdr:rowOff>330200</xdr:rowOff>
                  </to>
                </anchor>
              </controlPr>
            </control>
          </mc:Choice>
        </mc:AlternateContent>
        <mc:AlternateContent xmlns:mc="http://schemas.openxmlformats.org/markup-compatibility/2006">
          <mc:Choice Requires="x14">
            <control shapeId="3171" r:id="rId22" name="Check Box 99">
              <controlPr defaultSize="0" autoFill="0" autoLine="0" autoPict="0">
                <anchor moveWithCells="1">
                  <from>
                    <xdr:col>2</xdr:col>
                    <xdr:colOff>355600</xdr:colOff>
                    <xdr:row>24</xdr:row>
                    <xdr:rowOff>38100</xdr:rowOff>
                  </from>
                  <to>
                    <xdr:col>2</xdr:col>
                    <xdr:colOff>609600</xdr:colOff>
                    <xdr:row>24</xdr:row>
                    <xdr:rowOff>215900</xdr:rowOff>
                  </to>
                </anchor>
              </controlPr>
            </control>
          </mc:Choice>
        </mc:AlternateContent>
        <mc:AlternateContent xmlns:mc="http://schemas.openxmlformats.org/markup-compatibility/2006">
          <mc:Choice Requires="x14">
            <control shapeId="3172" r:id="rId23" name="Check Box 100">
              <controlPr defaultSize="0" autoFill="0" autoLine="0" autoPict="0">
                <anchor moveWithCells="1">
                  <from>
                    <xdr:col>2</xdr:col>
                    <xdr:colOff>355600</xdr:colOff>
                    <xdr:row>25</xdr:row>
                    <xdr:rowOff>38100</xdr:rowOff>
                  </from>
                  <to>
                    <xdr:col>2</xdr:col>
                    <xdr:colOff>609600</xdr:colOff>
                    <xdr:row>25</xdr:row>
                    <xdr:rowOff>215900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9AA05-B382-6E4C-A1A8-1729DCCA9F85}">
  <sheetPr codeName="Sheet4"/>
  <dimension ref="A1:E24"/>
  <sheetViews>
    <sheetView zoomScale="64" zoomScaleNormal="75" workbookViewId="0">
      <selection activeCell="B28" sqref="B28"/>
    </sheetView>
  </sheetViews>
  <sheetFormatPr baseColWidth="10" defaultRowHeight="18" x14ac:dyDescent="0.2"/>
  <cols>
    <col min="1" max="1" width="15.1640625" style="1" bestFit="1" customWidth="1"/>
    <col min="2" max="2" width="255.83203125" style="1" bestFit="1" customWidth="1"/>
    <col min="3" max="3" width="12.1640625" style="1" bestFit="1" customWidth="1"/>
    <col min="4" max="4" width="8.5" style="1" hidden="1" customWidth="1"/>
    <col min="5" max="16384" width="10.83203125" style="1"/>
  </cols>
  <sheetData>
    <row r="1" spans="1:5" ht="23" x14ac:dyDescent="0.2">
      <c r="A1" s="109" t="s">
        <v>62</v>
      </c>
      <c r="B1" s="110"/>
      <c r="C1" s="116"/>
      <c r="D1" s="51"/>
      <c r="E1" s="51"/>
    </row>
    <row r="2" spans="1:5" x14ac:dyDescent="0.2">
      <c r="A2" s="117" t="s">
        <v>60</v>
      </c>
      <c r="B2" s="117"/>
      <c r="C2" s="117"/>
      <c r="D2" s="51"/>
      <c r="E2" s="51"/>
    </row>
    <row r="3" spans="1:5" x14ac:dyDescent="0.2">
      <c r="A3" s="117" t="s">
        <v>61</v>
      </c>
      <c r="B3" s="117"/>
      <c r="C3" s="117"/>
      <c r="D3" s="51"/>
      <c r="E3" s="51"/>
    </row>
    <row r="4" spans="1:5" x14ac:dyDescent="0.2">
      <c r="A4" s="39" t="s">
        <v>231</v>
      </c>
      <c r="B4" s="39" t="s">
        <v>230</v>
      </c>
      <c r="C4" s="22"/>
      <c r="D4" s="51" t="b">
        <v>0</v>
      </c>
      <c r="E4" s="51">
        <v>68.099999999999994</v>
      </c>
    </row>
    <row r="5" spans="1:5" x14ac:dyDescent="0.2">
      <c r="A5" s="39" t="s">
        <v>286</v>
      </c>
      <c r="B5" s="39" t="s">
        <v>285</v>
      </c>
      <c r="C5" s="22"/>
      <c r="D5" s="51" t="b">
        <v>0</v>
      </c>
      <c r="E5" s="51">
        <v>70.900000000000006</v>
      </c>
    </row>
    <row r="6" spans="1:5" x14ac:dyDescent="0.2">
      <c r="A6" s="39" t="s">
        <v>321</v>
      </c>
      <c r="B6" s="39" t="s">
        <v>320</v>
      </c>
      <c r="C6" s="22"/>
      <c r="D6" s="51" t="b">
        <v>0</v>
      </c>
      <c r="E6" s="51">
        <v>60</v>
      </c>
    </row>
    <row r="7" spans="1:5" x14ac:dyDescent="0.2">
      <c r="A7" s="39" t="s">
        <v>331</v>
      </c>
      <c r="B7" s="39" t="s">
        <v>330</v>
      </c>
      <c r="C7" s="22"/>
      <c r="D7" s="51" t="b">
        <v>0</v>
      </c>
      <c r="E7" s="51">
        <v>64.3</v>
      </c>
    </row>
    <row r="8" spans="1:5" ht="38" x14ac:dyDescent="0.2">
      <c r="A8" s="39" t="s">
        <v>447</v>
      </c>
      <c r="B8" s="5" t="s">
        <v>446</v>
      </c>
      <c r="C8" s="22"/>
      <c r="D8" s="51" t="b">
        <v>0</v>
      </c>
      <c r="E8" s="51">
        <v>74.599999999999994</v>
      </c>
    </row>
    <row r="9" spans="1:5" x14ac:dyDescent="0.2">
      <c r="A9" s="39" t="s">
        <v>525</v>
      </c>
      <c r="B9" s="41" t="s">
        <v>527</v>
      </c>
      <c r="C9" s="22"/>
      <c r="D9" s="51" t="b">
        <v>0</v>
      </c>
      <c r="E9" s="51">
        <v>85.8</v>
      </c>
    </row>
    <row r="10" spans="1:5" x14ac:dyDescent="0.2">
      <c r="A10" s="39" t="s">
        <v>548</v>
      </c>
      <c r="B10" s="41" t="s">
        <v>547</v>
      </c>
      <c r="C10" s="22"/>
      <c r="D10" s="51" t="b">
        <v>0</v>
      </c>
      <c r="E10" s="51">
        <v>24.7</v>
      </c>
    </row>
    <row r="11" spans="1:5" ht="38" x14ac:dyDescent="0.2">
      <c r="A11" s="39" t="s">
        <v>664</v>
      </c>
      <c r="B11" s="5" t="s">
        <v>663</v>
      </c>
      <c r="C11" s="22"/>
      <c r="D11" s="51" t="b">
        <v>0</v>
      </c>
      <c r="E11" s="51">
        <v>33</v>
      </c>
    </row>
    <row r="12" spans="1:5" ht="19" x14ac:dyDescent="0.2">
      <c r="A12" s="39" t="s">
        <v>696</v>
      </c>
      <c r="B12" s="5" t="s">
        <v>695</v>
      </c>
      <c r="C12" s="22"/>
      <c r="D12" s="51" t="b">
        <v>0</v>
      </c>
      <c r="E12" s="51">
        <v>49</v>
      </c>
    </row>
    <row r="13" spans="1:5" ht="19" x14ac:dyDescent="0.2">
      <c r="A13" s="39" t="s">
        <v>720</v>
      </c>
      <c r="B13" s="5" t="s">
        <v>719</v>
      </c>
      <c r="C13" s="22"/>
      <c r="D13" s="51" t="b">
        <v>0</v>
      </c>
      <c r="E13" s="51">
        <v>54.7</v>
      </c>
    </row>
    <row r="14" spans="1:5" x14ac:dyDescent="0.2">
      <c r="A14" s="114" t="s">
        <v>63</v>
      </c>
      <c r="B14" s="114"/>
      <c r="C14" s="114"/>
      <c r="D14" s="51"/>
      <c r="E14" s="51"/>
    </row>
    <row r="15" spans="1:5" ht="19" x14ac:dyDescent="0.2">
      <c r="A15" s="39" t="s">
        <v>410</v>
      </c>
      <c r="B15" s="5" t="s">
        <v>411</v>
      </c>
      <c r="C15" s="22"/>
      <c r="D15" s="51" t="b">
        <v>0</v>
      </c>
      <c r="E15" s="51">
        <v>19.899999999999999</v>
      </c>
    </row>
    <row r="16" spans="1:5" x14ac:dyDescent="0.2">
      <c r="A16" s="39" t="s">
        <v>572</v>
      </c>
      <c r="B16" s="41" t="s">
        <v>571</v>
      </c>
      <c r="C16" s="22"/>
      <c r="D16" s="51" t="b">
        <v>0</v>
      </c>
      <c r="E16" s="51">
        <v>75.2</v>
      </c>
    </row>
    <row r="17" spans="1:5" ht="19" x14ac:dyDescent="0.2">
      <c r="A17" s="39" t="s">
        <v>724</v>
      </c>
      <c r="B17" s="5" t="s">
        <v>754</v>
      </c>
      <c r="C17" s="22"/>
      <c r="D17" s="51" t="b">
        <v>0</v>
      </c>
      <c r="E17" s="51">
        <v>76.5</v>
      </c>
    </row>
    <row r="18" spans="1:5" x14ac:dyDescent="0.2">
      <c r="A18" s="113" t="s">
        <v>4</v>
      </c>
      <c r="B18" s="114"/>
      <c r="C18" s="115"/>
      <c r="D18" s="51"/>
      <c r="E18" s="51"/>
    </row>
    <row r="19" spans="1:5" x14ac:dyDescent="0.2">
      <c r="A19" s="39" t="s">
        <v>213</v>
      </c>
      <c r="B19" s="39" t="s">
        <v>212</v>
      </c>
      <c r="C19" s="22"/>
      <c r="D19" s="51" t="b">
        <v>0</v>
      </c>
      <c r="E19" s="51">
        <v>68.3</v>
      </c>
    </row>
    <row r="20" spans="1:5" ht="38" x14ac:dyDescent="0.2">
      <c r="A20" s="39" t="s">
        <v>587</v>
      </c>
      <c r="B20" s="5" t="s">
        <v>586</v>
      </c>
      <c r="C20" s="22"/>
      <c r="D20" s="51" t="b">
        <v>0</v>
      </c>
      <c r="E20" s="51">
        <v>37.6</v>
      </c>
    </row>
    <row r="22" spans="1:5" x14ac:dyDescent="0.2">
      <c r="A22" s="6" t="s">
        <v>762</v>
      </c>
      <c r="B22" s="7">
        <f>COUNTA(D3:D20)</f>
        <v>15</v>
      </c>
    </row>
    <row r="23" spans="1:5" x14ac:dyDescent="0.2">
      <c r="A23" s="6" t="s">
        <v>37</v>
      </c>
      <c r="B23" s="7">
        <f>COUNTIF(D3:D20, TRUE)</f>
        <v>0</v>
      </c>
    </row>
    <row r="24" spans="1:5" x14ac:dyDescent="0.2">
      <c r="A24" s="6" t="s">
        <v>38</v>
      </c>
      <c r="B24" s="11">
        <f>(B23/B22)*100</f>
        <v>0</v>
      </c>
    </row>
  </sheetData>
  <mergeCells count="5">
    <mergeCell ref="A18:C18"/>
    <mergeCell ref="A1:C1"/>
    <mergeCell ref="A2:C2"/>
    <mergeCell ref="A3:C3"/>
    <mergeCell ref="A14:C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30" r:id="rId3" name="Check Box 38">
              <controlPr defaultSize="0" autoFill="0" autoLine="0" autoPict="0">
                <anchor moveWithCells="1">
                  <from>
                    <xdr:col>2</xdr:col>
                    <xdr:colOff>317500</xdr:colOff>
                    <xdr:row>3</xdr:row>
                    <xdr:rowOff>25400</xdr:rowOff>
                  </from>
                  <to>
                    <xdr:col>2</xdr:col>
                    <xdr:colOff>609600</xdr:colOff>
                    <xdr:row>3</xdr:row>
                    <xdr:rowOff>241300</xdr:rowOff>
                  </to>
                </anchor>
              </controlPr>
            </control>
          </mc:Choice>
        </mc:AlternateContent>
        <mc:AlternateContent xmlns:mc="http://schemas.openxmlformats.org/markup-compatibility/2006">
          <mc:Choice Requires="x14">
            <control shapeId="8231" r:id="rId4" name="Check Box 39">
              <controlPr defaultSize="0" autoFill="0" autoLine="0" autoPict="0">
                <anchor moveWithCells="1">
                  <from>
                    <xdr:col>2</xdr:col>
                    <xdr:colOff>317500</xdr:colOff>
                    <xdr:row>4</xdr:row>
                    <xdr:rowOff>25400</xdr:rowOff>
                  </from>
                  <to>
                    <xdr:col>2</xdr:col>
                    <xdr:colOff>609600</xdr:colOff>
                    <xdr:row>4</xdr:row>
                    <xdr:rowOff>228600</xdr:rowOff>
                  </to>
                </anchor>
              </controlPr>
            </control>
          </mc:Choice>
        </mc:AlternateContent>
        <mc:AlternateContent xmlns:mc="http://schemas.openxmlformats.org/markup-compatibility/2006">
          <mc:Choice Requires="x14">
            <control shapeId="8232" r:id="rId5" name="Check Box 40">
              <controlPr defaultSize="0" autoFill="0" autoLine="0" autoPict="0">
                <anchor moveWithCells="1">
                  <from>
                    <xdr:col>2</xdr:col>
                    <xdr:colOff>317500</xdr:colOff>
                    <xdr:row>5</xdr:row>
                    <xdr:rowOff>25400</xdr:rowOff>
                  </from>
                  <to>
                    <xdr:col>2</xdr:col>
                    <xdr:colOff>609600</xdr:colOff>
                    <xdr:row>5</xdr:row>
                    <xdr:rowOff>228600</xdr:rowOff>
                  </to>
                </anchor>
              </controlPr>
            </control>
          </mc:Choice>
        </mc:AlternateContent>
        <mc:AlternateContent xmlns:mc="http://schemas.openxmlformats.org/markup-compatibility/2006">
          <mc:Choice Requires="x14">
            <control shapeId="8233" r:id="rId6" name="Check Box 41">
              <controlPr defaultSize="0" autoFill="0" autoLine="0" autoPict="0">
                <anchor moveWithCells="1">
                  <from>
                    <xdr:col>2</xdr:col>
                    <xdr:colOff>317500</xdr:colOff>
                    <xdr:row>6</xdr:row>
                    <xdr:rowOff>25400</xdr:rowOff>
                  </from>
                  <to>
                    <xdr:col>2</xdr:col>
                    <xdr:colOff>609600</xdr:colOff>
                    <xdr:row>6</xdr:row>
                    <xdr:rowOff>228600</xdr:rowOff>
                  </to>
                </anchor>
              </controlPr>
            </control>
          </mc:Choice>
        </mc:AlternateContent>
        <mc:AlternateContent xmlns:mc="http://schemas.openxmlformats.org/markup-compatibility/2006">
          <mc:Choice Requires="x14">
            <control shapeId="8234" r:id="rId7" name="Check Box 42">
              <controlPr defaultSize="0" autoFill="0" autoLine="0" autoPict="0">
                <anchor moveWithCells="1">
                  <from>
                    <xdr:col>2</xdr:col>
                    <xdr:colOff>317500</xdr:colOff>
                    <xdr:row>7</xdr:row>
                    <xdr:rowOff>25400</xdr:rowOff>
                  </from>
                  <to>
                    <xdr:col>2</xdr:col>
                    <xdr:colOff>609600</xdr:colOff>
                    <xdr:row>7</xdr:row>
                    <xdr:rowOff>228600</xdr:rowOff>
                  </to>
                </anchor>
              </controlPr>
            </control>
          </mc:Choice>
        </mc:AlternateContent>
        <mc:AlternateContent xmlns:mc="http://schemas.openxmlformats.org/markup-compatibility/2006">
          <mc:Choice Requires="x14">
            <control shapeId="8235" r:id="rId8" name="Check Box 43">
              <controlPr defaultSize="0" autoFill="0" autoLine="0" autoPict="0">
                <anchor moveWithCells="1">
                  <from>
                    <xdr:col>2</xdr:col>
                    <xdr:colOff>317500</xdr:colOff>
                    <xdr:row>8</xdr:row>
                    <xdr:rowOff>25400</xdr:rowOff>
                  </from>
                  <to>
                    <xdr:col>2</xdr:col>
                    <xdr:colOff>609600</xdr:colOff>
                    <xdr:row>8</xdr:row>
                    <xdr:rowOff>228600</xdr:rowOff>
                  </to>
                </anchor>
              </controlPr>
            </control>
          </mc:Choice>
        </mc:AlternateContent>
        <mc:AlternateContent xmlns:mc="http://schemas.openxmlformats.org/markup-compatibility/2006">
          <mc:Choice Requires="x14">
            <control shapeId="8236" r:id="rId9" name="Check Box 44">
              <controlPr defaultSize="0" autoFill="0" autoLine="0" autoPict="0">
                <anchor moveWithCells="1">
                  <from>
                    <xdr:col>2</xdr:col>
                    <xdr:colOff>317500</xdr:colOff>
                    <xdr:row>9</xdr:row>
                    <xdr:rowOff>25400</xdr:rowOff>
                  </from>
                  <to>
                    <xdr:col>2</xdr:col>
                    <xdr:colOff>609600</xdr:colOff>
                    <xdr:row>9</xdr:row>
                    <xdr:rowOff>228600</xdr:rowOff>
                  </to>
                </anchor>
              </controlPr>
            </control>
          </mc:Choice>
        </mc:AlternateContent>
        <mc:AlternateContent xmlns:mc="http://schemas.openxmlformats.org/markup-compatibility/2006">
          <mc:Choice Requires="x14">
            <control shapeId="8237" r:id="rId10" name="Check Box 45">
              <controlPr defaultSize="0" autoFill="0" autoLine="0" autoPict="0">
                <anchor moveWithCells="1">
                  <from>
                    <xdr:col>2</xdr:col>
                    <xdr:colOff>317500</xdr:colOff>
                    <xdr:row>10</xdr:row>
                    <xdr:rowOff>25400</xdr:rowOff>
                  </from>
                  <to>
                    <xdr:col>2</xdr:col>
                    <xdr:colOff>609600</xdr:colOff>
                    <xdr:row>10</xdr:row>
                    <xdr:rowOff>228600</xdr:rowOff>
                  </to>
                </anchor>
              </controlPr>
            </control>
          </mc:Choice>
        </mc:AlternateContent>
        <mc:AlternateContent xmlns:mc="http://schemas.openxmlformats.org/markup-compatibility/2006">
          <mc:Choice Requires="x14">
            <control shapeId="8238" r:id="rId11" name="Check Box 46">
              <controlPr defaultSize="0" autoFill="0" autoLine="0" autoPict="0">
                <anchor moveWithCells="1">
                  <from>
                    <xdr:col>2</xdr:col>
                    <xdr:colOff>317500</xdr:colOff>
                    <xdr:row>11</xdr:row>
                    <xdr:rowOff>25400</xdr:rowOff>
                  </from>
                  <to>
                    <xdr:col>2</xdr:col>
                    <xdr:colOff>609600</xdr:colOff>
                    <xdr:row>11</xdr:row>
                    <xdr:rowOff>228600</xdr:rowOff>
                  </to>
                </anchor>
              </controlPr>
            </control>
          </mc:Choice>
        </mc:AlternateContent>
        <mc:AlternateContent xmlns:mc="http://schemas.openxmlformats.org/markup-compatibility/2006">
          <mc:Choice Requires="x14">
            <control shapeId="8239" r:id="rId12" name="Check Box 47">
              <controlPr defaultSize="0" autoFill="0" autoLine="0" autoPict="0">
                <anchor moveWithCells="1">
                  <from>
                    <xdr:col>2</xdr:col>
                    <xdr:colOff>317500</xdr:colOff>
                    <xdr:row>12</xdr:row>
                    <xdr:rowOff>25400</xdr:rowOff>
                  </from>
                  <to>
                    <xdr:col>2</xdr:col>
                    <xdr:colOff>609600</xdr:colOff>
                    <xdr:row>12</xdr:row>
                    <xdr:rowOff>228600</xdr:rowOff>
                  </to>
                </anchor>
              </controlPr>
            </control>
          </mc:Choice>
        </mc:AlternateContent>
        <mc:AlternateContent xmlns:mc="http://schemas.openxmlformats.org/markup-compatibility/2006">
          <mc:Choice Requires="x14">
            <control shapeId="8240" r:id="rId13" name="Check Box 48">
              <controlPr defaultSize="0" autoFill="0" autoLine="0" autoPict="0">
                <anchor moveWithCells="1">
                  <from>
                    <xdr:col>2</xdr:col>
                    <xdr:colOff>317500</xdr:colOff>
                    <xdr:row>14</xdr:row>
                    <xdr:rowOff>25400</xdr:rowOff>
                  </from>
                  <to>
                    <xdr:col>2</xdr:col>
                    <xdr:colOff>609600</xdr:colOff>
                    <xdr:row>14</xdr:row>
                    <xdr:rowOff>228600</xdr:rowOff>
                  </to>
                </anchor>
              </controlPr>
            </control>
          </mc:Choice>
        </mc:AlternateContent>
        <mc:AlternateContent xmlns:mc="http://schemas.openxmlformats.org/markup-compatibility/2006">
          <mc:Choice Requires="x14">
            <control shapeId="8241" r:id="rId14" name="Check Box 49">
              <controlPr defaultSize="0" autoFill="0" autoLine="0" autoPict="0">
                <anchor moveWithCells="1">
                  <from>
                    <xdr:col>2</xdr:col>
                    <xdr:colOff>317500</xdr:colOff>
                    <xdr:row>15</xdr:row>
                    <xdr:rowOff>25400</xdr:rowOff>
                  </from>
                  <to>
                    <xdr:col>2</xdr:col>
                    <xdr:colOff>609600</xdr:colOff>
                    <xdr:row>15</xdr:row>
                    <xdr:rowOff>228600</xdr:rowOff>
                  </to>
                </anchor>
              </controlPr>
            </control>
          </mc:Choice>
        </mc:AlternateContent>
        <mc:AlternateContent xmlns:mc="http://schemas.openxmlformats.org/markup-compatibility/2006">
          <mc:Choice Requires="x14">
            <control shapeId="8242" r:id="rId15" name="Check Box 50">
              <controlPr defaultSize="0" autoFill="0" autoLine="0" autoPict="0">
                <anchor moveWithCells="1">
                  <from>
                    <xdr:col>2</xdr:col>
                    <xdr:colOff>317500</xdr:colOff>
                    <xdr:row>16</xdr:row>
                    <xdr:rowOff>25400</xdr:rowOff>
                  </from>
                  <to>
                    <xdr:col>2</xdr:col>
                    <xdr:colOff>609600</xdr:colOff>
                    <xdr:row>16</xdr:row>
                    <xdr:rowOff>228600</xdr:rowOff>
                  </to>
                </anchor>
              </controlPr>
            </control>
          </mc:Choice>
        </mc:AlternateContent>
        <mc:AlternateContent xmlns:mc="http://schemas.openxmlformats.org/markup-compatibility/2006">
          <mc:Choice Requires="x14">
            <control shapeId="8243" r:id="rId16" name="Check Box 51">
              <controlPr defaultSize="0" autoFill="0" autoLine="0" autoPict="0">
                <anchor moveWithCells="1">
                  <from>
                    <xdr:col>2</xdr:col>
                    <xdr:colOff>317500</xdr:colOff>
                    <xdr:row>17</xdr:row>
                    <xdr:rowOff>0</xdr:rowOff>
                  </from>
                  <to>
                    <xdr:col>2</xdr:col>
                    <xdr:colOff>609600</xdr:colOff>
                    <xdr:row>17</xdr:row>
                    <xdr:rowOff>203200</xdr:rowOff>
                  </to>
                </anchor>
              </controlPr>
            </control>
          </mc:Choice>
        </mc:AlternateContent>
        <mc:AlternateContent xmlns:mc="http://schemas.openxmlformats.org/markup-compatibility/2006">
          <mc:Choice Requires="x14">
            <control shapeId="8244" r:id="rId17" name="Check Box 52">
              <controlPr defaultSize="0" autoFill="0" autoLine="0" autoPict="0">
                <anchor moveWithCells="1">
                  <from>
                    <xdr:col>2</xdr:col>
                    <xdr:colOff>317500</xdr:colOff>
                    <xdr:row>18</xdr:row>
                    <xdr:rowOff>25400</xdr:rowOff>
                  </from>
                  <to>
                    <xdr:col>2</xdr:col>
                    <xdr:colOff>609600</xdr:colOff>
                    <xdr:row>19</xdr:row>
                    <xdr:rowOff>0</xdr:rowOff>
                  </to>
                </anchor>
              </controlPr>
            </control>
          </mc:Choice>
        </mc:AlternateContent>
        <mc:AlternateContent xmlns:mc="http://schemas.openxmlformats.org/markup-compatibility/2006">
          <mc:Choice Requires="x14">
            <control shapeId="8245" r:id="rId18" name="Check Box 53">
              <controlPr defaultSize="0" autoFill="0" autoLine="0" autoPict="0">
                <anchor moveWithCells="1">
                  <from>
                    <xdr:col>2</xdr:col>
                    <xdr:colOff>317500</xdr:colOff>
                    <xdr:row>19</xdr:row>
                    <xdr:rowOff>25400</xdr:rowOff>
                  </from>
                  <to>
                    <xdr:col>2</xdr:col>
                    <xdr:colOff>609600</xdr:colOff>
                    <xdr:row>19</xdr:row>
                    <xdr:rowOff>241300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02189-B492-9142-AD26-E76ACCF2A428}">
  <sheetPr codeName="Sheet5"/>
  <dimension ref="A1:E91"/>
  <sheetViews>
    <sheetView zoomScale="75" zoomScaleNormal="75" workbookViewId="0">
      <selection activeCell="B15" sqref="B15"/>
    </sheetView>
  </sheetViews>
  <sheetFormatPr baseColWidth="10" defaultRowHeight="18" x14ac:dyDescent="0.2"/>
  <cols>
    <col min="1" max="1" width="14.33203125" style="6" bestFit="1" customWidth="1"/>
    <col min="2" max="2" width="255.83203125" style="51" bestFit="1" customWidth="1"/>
    <col min="3" max="3" width="12.1640625" style="51" bestFit="1" customWidth="1"/>
    <col min="4" max="4" width="9" style="51" hidden="1" customWidth="1"/>
    <col min="5" max="16384" width="10.83203125" style="51"/>
  </cols>
  <sheetData>
    <row r="1" spans="1:5" ht="23" x14ac:dyDescent="0.2">
      <c r="A1" s="109" t="s">
        <v>64</v>
      </c>
      <c r="B1" s="110"/>
      <c r="C1" s="116"/>
      <c r="E1" s="51" t="s">
        <v>196</v>
      </c>
    </row>
    <row r="2" spans="1:5" ht="20" x14ac:dyDescent="0.2">
      <c r="A2" s="118" t="s">
        <v>5</v>
      </c>
      <c r="B2" s="118"/>
      <c r="C2" s="118"/>
    </row>
    <row r="3" spans="1:5" ht="20" customHeight="1" x14ac:dyDescent="0.2">
      <c r="A3" s="119" t="s">
        <v>66</v>
      </c>
      <c r="B3" s="120"/>
      <c r="C3" s="121"/>
    </row>
    <row r="4" spans="1:5" ht="38" x14ac:dyDescent="0.2">
      <c r="A4" s="64" t="s">
        <v>208</v>
      </c>
      <c r="B4" s="46" t="s">
        <v>207</v>
      </c>
      <c r="C4" s="75"/>
      <c r="D4" s="51" t="b">
        <v>0</v>
      </c>
      <c r="E4" s="51">
        <v>58.7</v>
      </c>
    </row>
    <row r="5" spans="1:5" ht="76" x14ac:dyDescent="0.2">
      <c r="A5" s="65" t="s">
        <v>215</v>
      </c>
      <c r="B5" s="10" t="s">
        <v>214</v>
      </c>
      <c r="C5" s="75"/>
      <c r="D5" s="51" t="b">
        <v>0</v>
      </c>
      <c r="E5" s="51">
        <v>47.6</v>
      </c>
    </row>
    <row r="6" spans="1:5" ht="152" x14ac:dyDescent="0.2">
      <c r="A6" s="65" t="s">
        <v>308</v>
      </c>
      <c r="B6" s="10" t="s">
        <v>309</v>
      </c>
      <c r="C6" s="75"/>
      <c r="D6" s="51" t="b">
        <v>0</v>
      </c>
      <c r="E6" s="51">
        <v>89</v>
      </c>
    </row>
    <row r="7" spans="1:5" ht="266" x14ac:dyDescent="0.2">
      <c r="A7" s="65" t="s">
        <v>352</v>
      </c>
      <c r="B7" s="10" t="s">
        <v>353</v>
      </c>
      <c r="C7" s="75"/>
      <c r="D7" s="51" t="b">
        <v>0</v>
      </c>
      <c r="E7" s="51">
        <v>69</v>
      </c>
    </row>
    <row r="8" spans="1:5" x14ac:dyDescent="0.2">
      <c r="A8" s="65" t="s">
        <v>473</v>
      </c>
      <c r="B8" s="51" t="s">
        <v>472</v>
      </c>
      <c r="C8" s="75"/>
      <c r="D8" s="51" t="b">
        <v>0</v>
      </c>
      <c r="E8" s="51">
        <v>48.5</v>
      </c>
    </row>
    <row r="9" spans="1:5" x14ac:dyDescent="0.2">
      <c r="A9" s="65" t="s">
        <v>526</v>
      </c>
      <c r="B9" s="53" t="s">
        <v>524</v>
      </c>
      <c r="C9" s="75"/>
      <c r="D9" s="51" t="b">
        <v>0</v>
      </c>
      <c r="E9" s="51">
        <v>59.4</v>
      </c>
    </row>
    <row r="10" spans="1:5" ht="176" customHeight="1" x14ac:dyDescent="0.2">
      <c r="A10" s="65" t="s">
        <v>537</v>
      </c>
      <c r="B10" s="10" t="s">
        <v>538</v>
      </c>
      <c r="C10" s="75"/>
      <c r="D10" s="51" t="b">
        <v>0</v>
      </c>
      <c r="E10" s="51">
        <v>71.400000000000006</v>
      </c>
    </row>
    <row r="11" spans="1:5" ht="38" x14ac:dyDescent="0.2">
      <c r="A11" s="65" t="s">
        <v>578</v>
      </c>
      <c r="B11" s="10" t="s">
        <v>577</v>
      </c>
      <c r="C11" s="75"/>
      <c r="D11" s="51" t="b">
        <v>0</v>
      </c>
      <c r="E11" s="51">
        <v>52.5</v>
      </c>
    </row>
    <row r="12" spans="1:5" ht="57" x14ac:dyDescent="0.2">
      <c r="A12" s="63" t="s">
        <v>669</v>
      </c>
      <c r="B12" s="72" t="s">
        <v>670</v>
      </c>
      <c r="C12" s="75"/>
      <c r="D12" s="51" t="b">
        <v>0</v>
      </c>
      <c r="E12" s="51">
        <v>40</v>
      </c>
    </row>
    <row r="13" spans="1:5" ht="323" x14ac:dyDescent="0.2">
      <c r="A13" s="65" t="s">
        <v>700</v>
      </c>
      <c r="B13" s="10" t="s">
        <v>701</v>
      </c>
      <c r="C13" s="75"/>
      <c r="D13" s="51" t="b">
        <v>0</v>
      </c>
      <c r="E13" s="51">
        <v>31</v>
      </c>
    </row>
    <row r="14" spans="1:5" ht="38" x14ac:dyDescent="0.2">
      <c r="A14" s="65" t="s">
        <v>708</v>
      </c>
      <c r="B14" s="10" t="s">
        <v>707</v>
      </c>
      <c r="C14" s="75"/>
      <c r="D14" s="51" t="b">
        <v>0</v>
      </c>
      <c r="E14" s="51">
        <v>71.2</v>
      </c>
    </row>
    <row r="15" spans="1:5" ht="368" customHeight="1" x14ac:dyDescent="0.2">
      <c r="A15" s="65" t="s">
        <v>732</v>
      </c>
      <c r="B15" s="10" t="s">
        <v>731</v>
      </c>
      <c r="C15" s="75"/>
      <c r="D15" s="51" t="b">
        <v>0</v>
      </c>
      <c r="E15" s="51">
        <v>51.8</v>
      </c>
    </row>
    <row r="16" spans="1:5" x14ac:dyDescent="0.2">
      <c r="A16" s="119" t="s">
        <v>67</v>
      </c>
      <c r="B16" s="120"/>
      <c r="C16" s="121"/>
    </row>
    <row r="17" spans="1:5" x14ac:dyDescent="0.2">
      <c r="A17" s="65" t="s">
        <v>188</v>
      </c>
      <c r="B17" s="53" t="s">
        <v>187</v>
      </c>
      <c r="C17" s="44"/>
      <c r="D17" s="51" t="b">
        <v>0</v>
      </c>
      <c r="E17" s="51">
        <v>45.8</v>
      </c>
    </row>
    <row r="18" spans="1:5" x14ac:dyDescent="0.2">
      <c r="A18" s="68" t="s">
        <v>339</v>
      </c>
      <c r="B18" s="53" t="s">
        <v>338</v>
      </c>
      <c r="C18" s="44"/>
      <c r="D18" s="51" t="b">
        <v>0</v>
      </c>
      <c r="E18" s="51">
        <v>67.599999999999994</v>
      </c>
    </row>
    <row r="19" spans="1:5" x14ac:dyDescent="0.2">
      <c r="A19" s="65" t="s">
        <v>361</v>
      </c>
      <c r="B19" s="51" t="s">
        <v>360</v>
      </c>
      <c r="C19" s="44"/>
      <c r="D19" s="51" t="b">
        <v>0</v>
      </c>
      <c r="E19" s="51">
        <v>71.7</v>
      </c>
    </row>
    <row r="20" spans="1:5" x14ac:dyDescent="0.2">
      <c r="A20" s="65" t="s">
        <v>395</v>
      </c>
      <c r="B20" s="53" t="s">
        <v>394</v>
      </c>
      <c r="C20" s="44"/>
      <c r="D20" s="51" t="b">
        <v>0</v>
      </c>
      <c r="E20" s="51">
        <v>79</v>
      </c>
    </row>
    <row r="21" spans="1:5" ht="19" x14ac:dyDescent="0.2">
      <c r="A21" s="65" t="s">
        <v>409</v>
      </c>
      <c r="B21" s="10" t="s">
        <v>408</v>
      </c>
      <c r="C21" s="44"/>
      <c r="D21" s="51" t="b">
        <v>0</v>
      </c>
      <c r="E21" s="51">
        <v>79.5</v>
      </c>
    </row>
    <row r="22" spans="1:5" ht="19" x14ac:dyDescent="0.2">
      <c r="A22" s="65" t="s">
        <v>428</v>
      </c>
      <c r="B22" s="10" t="s">
        <v>429</v>
      </c>
      <c r="C22" s="44"/>
      <c r="D22" s="51" t="b">
        <v>0</v>
      </c>
      <c r="E22" s="51">
        <v>67.099999999999994</v>
      </c>
    </row>
    <row r="23" spans="1:5" ht="38" x14ac:dyDescent="0.2">
      <c r="A23" s="65" t="s">
        <v>457</v>
      </c>
      <c r="B23" s="10" t="s">
        <v>456</v>
      </c>
      <c r="C23" s="44"/>
      <c r="D23" s="51" t="b">
        <v>0</v>
      </c>
      <c r="E23" s="51">
        <v>83.4</v>
      </c>
    </row>
    <row r="24" spans="1:5" x14ac:dyDescent="0.2">
      <c r="A24" s="65" t="s">
        <v>529</v>
      </c>
      <c r="B24" s="53" t="s">
        <v>528</v>
      </c>
      <c r="C24" s="44"/>
      <c r="D24" s="51" t="b">
        <v>0</v>
      </c>
      <c r="E24" s="51">
        <v>68.099999999999994</v>
      </c>
    </row>
    <row r="25" spans="1:5" x14ac:dyDescent="0.2">
      <c r="A25" s="73" t="s">
        <v>674</v>
      </c>
      <c r="B25" s="74" t="s">
        <v>673</v>
      </c>
      <c r="C25" s="44"/>
      <c r="D25" s="51" t="b">
        <v>0</v>
      </c>
      <c r="E25" s="51">
        <v>30</v>
      </c>
    </row>
    <row r="26" spans="1:5" ht="19" x14ac:dyDescent="0.2">
      <c r="A26" s="73" t="s">
        <v>693</v>
      </c>
      <c r="B26" s="76" t="s">
        <v>694</v>
      </c>
      <c r="C26" s="44"/>
      <c r="D26" s="51" t="b">
        <v>0</v>
      </c>
      <c r="E26" s="51">
        <v>52</v>
      </c>
    </row>
    <row r="27" spans="1:5" x14ac:dyDescent="0.2">
      <c r="A27" s="119" t="s">
        <v>65</v>
      </c>
      <c r="B27" s="120"/>
      <c r="C27" s="121"/>
    </row>
    <row r="28" spans="1:5" x14ac:dyDescent="0.2">
      <c r="A28" s="65" t="s">
        <v>175</v>
      </c>
      <c r="B28" s="53" t="s">
        <v>763</v>
      </c>
      <c r="C28" s="44"/>
      <c r="D28" s="51" t="b">
        <v>0</v>
      </c>
      <c r="E28" s="51">
        <v>67.2</v>
      </c>
    </row>
    <row r="29" spans="1:5" x14ac:dyDescent="0.2">
      <c r="A29" s="68" t="s">
        <v>186</v>
      </c>
      <c r="B29" s="53" t="s">
        <v>764</v>
      </c>
      <c r="C29" s="44"/>
      <c r="D29" s="51" t="b">
        <v>0</v>
      </c>
      <c r="E29" s="51">
        <v>55</v>
      </c>
    </row>
    <row r="30" spans="1:5" x14ac:dyDescent="0.2">
      <c r="A30" s="68" t="s">
        <v>189</v>
      </c>
      <c r="B30" s="53" t="s">
        <v>765</v>
      </c>
      <c r="C30" s="44"/>
      <c r="D30" s="51" t="b">
        <v>0</v>
      </c>
      <c r="E30" s="51">
        <v>54.3</v>
      </c>
    </row>
    <row r="31" spans="1:5" x14ac:dyDescent="0.2">
      <c r="A31" s="68" t="s">
        <v>192</v>
      </c>
      <c r="B31" s="53" t="s">
        <v>766</v>
      </c>
      <c r="C31" s="44"/>
      <c r="D31" s="51" t="b">
        <v>0</v>
      </c>
      <c r="E31" s="51">
        <v>48.9</v>
      </c>
    </row>
    <row r="32" spans="1:5" x14ac:dyDescent="0.2">
      <c r="A32" s="68" t="s">
        <v>202</v>
      </c>
      <c r="B32" s="53" t="s">
        <v>201</v>
      </c>
      <c r="C32" s="44"/>
      <c r="D32" s="51" t="b">
        <v>0</v>
      </c>
      <c r="E32" s="51">
        <v>47.1</v>
      </c>
    </row>
    <row r="33" spans="1:5" x14ac:dyDescent="0.2">
      <c r="A33" s="68" t="s">
        <v>206</v>
      </c>
      <c r="B33" s="53" t="s">
        <v>205</v>
      </c>
      <c r="C33" s="44"/>
      <c r="D33" s="51" t="b">
        <v>0</v>
      </c>
      <c r="E33" s="51">
        <v>69.2</v>
      </c>
    </row>
    <row r="34" spans="1:5" x14ac:dyDescent="0.2">
      <c r="A34" s="68" t="s">
        <v>211</v>
      </c>
      <c r="B34" s="53" t="s">
        <v>210</v>
      </c>
      <c r="C34" s="44"/>
      <c r="D34" s="51" t="b">
        <v>0</v>
      </c>
      <c r="E34" s="51">
        <v>54.8</v>
      </c>
    </row>
    <row r="35" spans="1:5" x14ac:dyDescent="0.2">
      <c r="A35" s="68" t="s">
        <v>217</v>
      </c>
      <c r="B35" s="68" t="s">
        <v>216</v>
      </c>
      <c r="C35" s="44"/>
      <c r="D35" s="51" t="b">
        <v>0</v>
      </c>
      <c r="E35" s="51">
        <v>54.3</v>
      </c>
    </row>
    <row r="36" spans="1:5" x14ac:dyDescent="0.2">
      <c r="A36" s="68" t="s">
        <v>221</v>
      </c>
      <c r="B36" s="53" t="s">
        <v>220</v>
      </c>
      <c r="C36" s="44"/>
      <c r="D36" s="51" t="b">
        <v>0</v>
      </c>
      <c r="E36" s="51">
        <v>61.5</v>
      </c>
    </row>
    <row r="37" spans="1:5" x14ac:dyDescent="0.2">
      <c r="A37" s="68" t="s">
        <v>257</v>
      </c>
      <c r="B37" s="53" t="s">
        <v>228</v>
      </c>
      <c r="C37" s="44"/>
      <c r="D37" s="51" t="b">
        <v>0</v>
      </c>
      <c r="E37" s="51">
        <v>64.5</v>
      </c>
    </row>
    <row r="38" spans="1:5" ht="38" x14ac:dyDescent="0.2">
      <c r="A38" s="68" t="s">
        <v>237</v>
      </c>
      <c r="B38" s="10" t="s">
        <v>236</v>
      </c>
      <c r="C38" s="44"/>
      <c r="D38" s="51" t="b">
        <v>0</v>
      </c>
      <c r="E38" s="51">
        <v>75.900000000000006</v>
      </c>
    </row>
    <row r="39" spans="1:5" s="54" customFormat="1" x14ac:dyDescent="0.2">
      <c r="A39" s="68" t="s">
        <v>247</v>
      </c>
      <c r="B39" s="53" t="s">
        <v>246</v>
      </c>
      <c r="C39" s="44"/>
      <c r="D39" s="51" t="b">
        <v>0</v>
      </c>
      <c r="E39" s="51">
        <v>42.6</v>
      </c>
    </row>
    <row r="40" spans="1:5" ht="38" x14ac:dyDescent="0.2">
      <c r="A40" s="68" t="s">
        <v>249</v>
      </c>
      <c r="B40" s="10" t="s">
        <v>248</v>
      </c>
      <c r="C40" s="44"/>
      <c r="D40" s="51" t="b">
        <v>0</v>
      </c>
      <c r="E40" s="51">
        <v>63.8</v>
      </c>
    </row>
    <row r="41" spans="1:5" s="54" customFormat="1" x14ac:dyDescent="0.2">
      <c r="A41" s="68" t="s">
        <v>262</v>
      </c>
      <c r="B41" s="53" t="s">
        <v>261</v>
      </c>
      <c r="C41" s="44"/>
      <c r="D41" s="51" t="b">
        <v>0</v>
      </c>
      <c r="E41" s="51">
        <v>63.8</v>
      </c>
    </row>
    <row r="42" spans="1:5" x14ac:dyDescent="0.2">
      <c r="A42" s="68" t="s">
        <v>268</v>
      </c>
      <c r="B42" s="53" t="s">
        <v>267</v>
      </c>
      <c r="C42" s="44"/>
      <c r="D42" s="51" t="b">
        <v>0</v>
      </c>
      <c r="E42" s="51">
        <v>63.8</v>
      </c>
    </row>
    <row r="43" spans="1:5" ht="38" x14ac:dyDescent="0.2">
      <c r="A43" s="68" t="s">
        <v>274</v>
      </c>
      <c r="B43" s="10" t="s">
        <v>273</v>
      </c>
      <c r="C43" s="44"/>
      <c r="D43" s="51" t="b">
        <v>0</v>
      </c>
      <c r="E43" s="51">
        <v>91.1</v>
      </c>
    </row>
    <row r="44" spans="1:5" ht="38" x14ac:dyDescent="0.2">
      <c r="A44" s="68" t="s">
        <v>303</v>
      </c>
      <c r="B44" s="10" t="s">
        <v>302</v>
      </c>
      <c r="C44" s="44"/>
      <c r="D44" s="51" t="b">
        <v>0</v>
      </c>
      <c r="E44" s="51">
        <v>44.8</v>
      </c>
    </row>
    <row r="45" spans="1:5" x14ac:dyDescent="0.2">
      <c r="A45" s="68" t="s">
        <v>319</v>
      </c>
      <c r="B45" s="53" t="s">
        <v>318</v>
      </c>
      <c r="C45" s="44"/>
      <c r="D45" s="51" t="b">
        <v>0</v>
      </c>
      <c r="E45" s="51">
        <v>70.3</v>
      </c>
    </row>
    <row r="46" spans="1:5" x14ac:dyDescent="0.2">
      <c r="A46" s="68" t="s">
        <v>323</v>
      </c>
      <c r="B46" s="53" t="s">
        <v>322</v>
      </c>
      <c r="C46" s="44"/>
      <c r="D46" s="51" t="b">
        <v>0</v>
      </c>
      <c r="E46" s="51">
        <v>44.9</v>
      </c>
    </row>
    <row r="47" spans="1:5" x14ac:dyDescent="0.2">
      <c r="A47" s="68" t="s">
        <v>325</v>
      </c>
      <c r="B47" s="53" t="s">
        <v>324</v>
      </c>
      <c r="C47" s="44"/>
      <c r="D47" s="51" t="b">
        <v>0</v>
      </c>
    </row>
    <row r="48" spans="1:5" x14ac:dyDescent="0.2">
      <c r="A48" s="68" t="s">
        <v>337</v>
      </c>
      <c r="B48" s="53" t="s">
        <v>336</v>
      </c>
      <c r="C48" s="44"/>
      <c r="D48" s="51" t="b">
        <v>0</v>
      </c>
      <c r="E48" s="51">
        <v>60.5</v>
      </c>
    </row>
    <row r="49" spans="1:5" ht="38" x14ac:dyDescent="0.2">
      <c r="A49" s="68" t="s">
        <v>369</v>
      </c>
      <c r="B49" s="10" t="s">
        <v>368</v>
      </c>
      <c r="C49" s="44"/>
      <c r="D49" s="51" t="b">
        <v>0</v>
      </c>
      <c r="E49" s="51">
        <v>67.8</v>
      </c>
    </row>
    <row r="50" spans="1:5" ht="38" x14ac:dyDescent="0.2">
      <c r="A50" s="68" t="s">
        <v>371</v>
      </c>
      <c r="B50" s="10" t="s">
        <v>370</v>
      </c>
      <c r="C50" s="44"/>
      <c r="D50" s="51" t="b">
        <v>0</v>
      </c>
      <c r="E50" s="51">
        <v>70.400000000000006</v>
      </c>
    </row>
    <row r="51" spans="1:5" ht="38" x14ac:dyDescent="0.2">
      <c r="A51" s="68" t="s">
        <v>377</v>
      </c>
      <c r="B51" s="10" t="s">
        <v>376</v>
      </c>
      <c r="C51" s="44"/>
      <c r="D51" s="51" t="b">
        <v>0</v>
      </c>
      <c r="E51" s="51">
        <v>65</v>
      </c>
    </row>
    <row r="52" spans="1:5" ht="38" x14ac:dyDescent="0.2">
      <c r="A52" s="68" t="s">
        <v>393</v>
      </c>
      <c r="B52" s="5" t="s">
        <v>392</v>
      </c>
      <c r="C52" s="44"/>
      <c r="D52" s="51" t="b">
        <v>0</v>
      </c>
      <c r="E52" s="51">
        <v>77</v>
      </c>
    </row>
    <row r="53" spans="1:5" x14ac:dyDescent="0.2">
      <c r="A53" s="68" t="s">
        <v>403</v>
      </c>
      <c r="B53" s="68" t="s">
        <v>402</v>
      </c>
      <c r="C53" s="44"/>
      <c r="D53" s="51" t="b">
        <v>0</v>
      </c>
      <c r="E53" s="51">
        <v>67</v>
      </c>
    </row>
    <row r="54" spans="1:5" ht="38" x14ac:dyDescent="0.2">
      <c r="A54" s="68" t="s">
        <v>406</v>
      </c>
      <c r="B54" s="5" t="s">
        <v>407</v>
      </c>
      <c r="C54" s="44"/>
      <c r="D54" s="51" t="b">
        <v>0</v>
      </c>
      <c r="E54" s="51">
        <v>60.9</v>
      </c>
    </row>
    <row r="55" spans="1:5" ht="38" x14ac:dyDescent="0.2">
      <c r="A55" s="68" t="s">
        <v>427</v>
      </c>
      <c r="B55" s="5" t="s">
        <v>426</v>
      </c>
      <c r="C55" s="44"/>
      <c r="D55" s="51" t="b">
        <v>0</v>
      </c>
      <c r="E55" s="51">
        <v>29.2</v>
      </c>
    </row>
    <row r="56" spans="1:5" ht="38" x14ac:dyDescent="0.2">
      <c r="A56" s="68" t="s">
        <v>453</v>
      </c>
      <c r="B56" s="5" t="s">
        <v>452</v>
      </c>
      <c r="C56" s="44"/>
      <c r="D56" s="51" t="b">
        <v>0</v>
      </c>
      <c r="E56" s="51">
        <v>69.900000000000006</v>
      </c>
    </row>
    <row r="57" spans="1:5" x14ac:dyDescent="0.2">
      <c r="A57" s="68" t="s">
        <v>459</v>
      </c>
      <c r="B57" s="68" t="s">
        <v>461</v>
      </c>
      <c r="C57" s="44"/>
      <c r="D57" s="51" t="b">
        <v>0</v>
      </c>
      <c r="E57" s="51">
        <v>34.700000000000003</v>
      </c>
    </row>
    <row r="58" spans="1:5" ht="57" x14ac:dyDescent="0.2">
      <c r="A58" s="68" t="s">
        <v>471</v>
      </c>
      <c r="B58" s="5" t="s">
        <v>470</v>
      </c>
      <c r="C58" s="44"/>
      <c r="D58" s="51" t="b">
        <v>0</v>
      </c>
      <c r="E58" s="51">
        <v>53</v>
      </c>
    </row>
    <row r="59" spans="1:5" s="54" customFormat="1" ht="19" x14ac:dyDescent="0.2">
      <c r="A59" s="68" t="s">
        <v>481</v>
      </c>
      <c r="B59" s="5" t="s">
        <v>480</v>
      </c>
      <c r="C59" s="44"/>
      <c r="D59" s="51" t="b">
        <v>0</v>
      </c>
      <c r="E59" s="51">
        <v>69.900000000000006</v>
      </c>
    </row>
    <row r="60" spans="1:5" x14ac:dyDescent="0.2">
      <c r="A60" s="68" t="s">
        <v>505</v>
      </c>
      <c r="B60" s="68" t="s">
        <v>504</v>
      </c>
      <c r="C60" s="44"/>
      <c r="D60" s="51" t="b">
        <v>0</v>
      </c>
      <c r="E60" s="51">
        <v>60.3</v>
      </c>
    </row>
    <row r="61" spans="1:5" x14ac:dyDescent="0.2">
      <c r="A61" s="68" t="s">
        <v>523</v>
      </c>
      <c r="B61" s="68" t="s">
        <v>522</v>
      </c>
      <c r="C61" s="44"/>
      <c r="D61" s="51" t="b">
        <v>0</v>
      </c>
      <c r="E61" s="51">
        <v>77.2</v>
      </c>
    </row>
    <row r="62" spans="1:5" x14ac:dyDescent="0.2">
      <c r="A62" s="68" t="s">
        <v>556</v>
      </c>
      <c r="B62" s="68" t="s">
        <v>555</v>
      </c>
      <c r="C62" s="44"/>
      <c r="D62" s="51" t="b">
        <v>0</v>
      </c>
      <c r="E62" s="51">
        <v>75.3</v>
      </c>
    </row>
    <row r="63" spans="1:5" x14ac:dyDescent="0.2">
      <c r="A63" s="68" t="s">
        <v>566</v>
      </c>
      <c r="B63" s="68" t="s">
        <v>565</v>
      </c>
      <c r="C63" s="44"/>
      <c r="D63" s="51" t="b">
        <v>0</v>
      </c>
      <c r="E63" s="51">
        <v>53.5</v>
      </c>
    </row>
    <row r="64" spans="1:5" ht="38" x14ac:dyDescent="0.2">
      <c r="A64" s="68" t="s">
        <v>568</v>
      </c>
      <c r="B64" s="5" t="s">
        <v>567</v>
      </c>
      <c r="C64" s="44"/>
      <c r="D64" s="51" t="b">
        <v>0</v>
      </c>
      <c r="E64" s="51">
        <v>37.1</v>
      </c>
    </row>
    <row r="65" spans="1:5" ht="38" x14ac:dyDescent="0.2">
      <c r="A65" s="68" t="s">
        <v>585</v>
      </c>
      <c r="B65" s="5" t="s">
        <v>584</v>
      </c>
      <c r="C65" s="44"/>
      <c r="D65" s="51" t="b">
        <v>0</v>
      </c>
      <c r="E65" s="51">
        <v>66.8</v>
      </c>
    </row>
    <row r="66" spans="1:5" s="54" customFormat="1" ht="38" x14ac:dyDescent="0.2">
      <c r="A66" s="68" t="s">
        <v>589</v>
      </c>
      <c r="B66" s="5" t="s">
        <v>588</v>
      </c>
      <c r="C66" s="44"/>
      <c r="D66" s="51" t="b">
        <v>0</v>
      </c>
      <c r="E66" s="51">
        <v>63.8</v>
      </c>
    </row>
    <row r="67" spans="1:5" x14ac:dyDescent="0.2">
      <c r="A67" s="68" t="s">
        <v>593</v>
      </c>
      <c r="B67" s="68" t="s">
        <v>592</v>
      </c>
      <c r="C67" s="44"/>
      <c r="D67" s="51" t="b">
        <v>0</v>
      </c>
      <c r="E67" s="51">
        <v>49.7</v>
      </c>
    </row>
    <row r="68" spans="1:5" x14ac:dyDescent="0.2">
      <c r="A68" s="68" t="s">
        <v>640</v>
      </c>
      <c r="B68" s="68" t="s">
        <v>639</v>
      </c>
      <c r="C68" s="44"/>
      <c r="D68" s="51" t="b">
        <v>0</v>
      </c>
      <c r="E68" s="51">
        <v>61.5</v>
      </c>
    </row>
    <row r="69" spans="1:5" ht="38" x14ac:dyDescent="0.2">
      <c r="A69" s="68" t="s">
        <v>678</v>
      </c>
      <c r="B69" s="5" t="s">
        <v>677</v>
      </c>
      <c r="C69" s="44"/>
      <c r="D69" s="51" t="b">
        <v>0</v>
      </c>
      <c r="E69" s="51">
        <v>46</v>
      </c>
    </row>
    <row r="70" spans="1:5" s="54" customFormat="1" x14ac:dyDescent="0.2">
      <c r="A70" s="68" t="s">
        <v>674</v>
      </c>
      <c r="B70" s="68" t="s">
        <v>702</v>
      </c>
      <c r="C70" s="44"/>
      <c r="D70" s="51" t="b">
        <v>0</v>
      </c>
      <c r="E70" s="54">
        <v>47</v>
      </c>
    </row>
    <row r="71" spans="1:5" ht="38" x14ac:dyDescent="0.2">
      <c r="A71" s="68" t="s">
        <v>738</v>
      </c>
      <c r="B71" s="5" t="s">
        <v>723</v>
      </c>
      <c r="C71" s="44"/>
      <c r="D71" s="51" t="b">
        <v>0</v>
      </c>
      <c r="E71" s="51">
        <v>57.6</v>
      </c>
    </row>
    <row r="72" spans="1:5" x14ac:dyDescent="0.2">
      <c r="A72" s="68" t="s">
        <v>739</v>
      </c>
      <c r="B72" s="68" t="s">
        <v>737</v>
      </c>
      <c r="C72" s="44"/>
      <c r="D72" s="51" t="b">
        <v>0</v>
      </c>
      <c r="E72" s="51">
        <v>63.3</v>
      </c>
    </row>
    <row r="73" spans="1:5" ht="19" x14ac:dyDescent="0.2">
      <c r="A73" s="68" t="s">
        <v>741</v>
      </c>
      <c r="B73" s="5" t="s">
        <v>740</v>
      </c>
      <c r="C73" s="44"/>
      <c r="D73" s="51" t="b">
        <v>0</v>
      </c>
      <c r="E73" s="51">
        <v>42.2</v>
      </c>
    </row>
    <row r="74" spans="1:5" ht="38" x14ac:dyDescent="0.2">
      <c r="A74" s="68" t="s">
        <v>745</v>
      </c>
      <c r="B74" s="5" t="s">
        <v>744</v>
      </c>
      <c r="C74" s="44"/>
      <c r="D74" s="51" t="b">
        <v>0</v>
      </c>
      <c r="E74" s="51">
        <v>67.5</v>
      </c>
    </row>
    <row r="75" spans="1:5" ht="20" x14ac:dyDescent="0.2">
      <c r="A75" s="118" t="s">
        <v>6</v>
      </c>
      <c r="B75" s="118"/>
      <c r="C75" s="118"/>
    </row>
    <row r="76" spans="1:5" x14ac:dyDescent="0.2">
      <c r="A76" s="64" t="s">
        <v>365</v>
      </c>
      <c r="B76" s="68" t="s">
        <v>364</v>
      </c>
      <c r="C76" s="75"/>
      <c r="D76" s="51" t="b">
        <v>0</v>
      </c>
      <c r="E76" s="51">
        <v>46.7</v>
      </c>
    </row>
    <row r="77" spans="1:5" ht="20" x14ac:dyDescent="0.2">
      <c r="A77" s="118" t="s">
        <v>7</v>
      </c>
      <c r="B77" s="118"/>
      <c r="C77" s="118"/>
    </row>
    <row r="78" spans="1:5" ht="45" customHeight="1" x14ac:dyDescent="0.2">
      <c r="A78" s="68" t="s">
        <v>487</v>
      </c>
      <c r="B78" s="46" t="s">
        <v>209</v>
      </c>
      <c r="C78" s="44"/>
      <c r="D78" s="51" t="b">
        <v>0</v>
      </c>
      <c r="E78" s="51">
        <v>34.1</v>
      </c>
    </row>
    <row r="79" spans="1:5" x14ac:dyDescent="0.2">
      <c r="A79" s="68" t="s">
        <v>284</v>
      </c>
      <c r="B79" s="53" t="s">
        <v>283</v>
      </c>
      <c r="C79" s="44"/>
      <c r="D79" s="51" t="b">
        <v>0</v>
      </c>
      <c r="E79" s="51">
        <v>54</v>
      </c>
    </row>
    <row r="80" spans="1:5" ht="38" x14ac:dyDescent="0.2">
      <c r="A80" s="68" t="s">
        <v>486</v>
      </c>
      <c r="B80" s="10" t="s">
        <v>299</v>
      </c>
      <c r="C80" s="44"/>
      <c r="D80" s="51" t="b">
        <v>0</v>
      </c>
      <c r="E80" s="51">
        <v>74.8</v>
      </c>
    </row>
    <row r="81" spans="1:5" x14ac:dyDescent="0.2">
      <c r="A81" s="68" t="s">
        <v>485</v>
      </c>
      <c r="B81" s="53" t="s">
        <v>348</v>
      </c>
      <c r="C81" s="44"/>
      <c r="D81" s="51" t="b">
        <v>0</v>
      </c>
      <c r="E81" s="51">
        <v>53.9</v>
      </c>
    </row>
    <row r="82" spans="1:5" x14ac:dyDescent="0.2">
      <c r="A82" s="68" t="s">
        <v>484</v>
      </c>
      <c r="B82" s="53" t="s">
        <v>351</v>
      </c>
      <c r="C82" s="44"/>
      <c r="D82" s="51" t="b">
        <v>0</v>
      </c>
      <c r="E82" s="51">
        <v>44.7</v>
      </c>
    </row>
    <row r="83" spans="1:5" ht="38" x14ac:dyDescent="0.2">
      <c r="A83" s="68" t="s">
        <v>401</v>
      </c>
      <c r="B83" s="10" t="s">
        <v>400</v>
      </c>
      <c r="C83" s="44"/>
      <c r="D83" s="51" t="b">
        <v>0</v>
      </c>
      <c r="E83" s="51">
        <v>80</v>
      </c>
    </row>
    <row r="84" spans="1:5" ht="38" customHeight="1" x14ac:dyDescent="0.2">
      <c r="A84" s="68" t="s">
        <v>483</v>
      </c>
      <c r="B84" s="10" t="s">
        <v>482</v>
      </c>
      <c r="C84" s="44"/>
      <c r="D84" s="51" t="b">
        <v>0</v>
      </c>
      <c r="E84" s="51">
        <v>43.4</v>
      </c>
    </row>
    <row r="85" spans="1:5" ht="38" x14ac:dyDescent="0.2">
      <c r="A85" s="68" t="s">
        <v>509</v>
      </c>
      <c r="B85" s="10" t="s">
        <v>508</v>
      </c>
      <c r="C85" s="44"/>
      <c r="D85" s="51" t="b">
        <v>0</v>
      </c>
      <c r="E85" s="51">
        <v>57.1</v>
      </c>
    </row>
    <row r="86" spans="1:5" ht="38" x14ac:dyDescent="0.2">
      <c r="A86" s="68" t="s">
        <v>621</v>
      </c>
      <c r="B86" s="10" t="s">
        <v>620</v>
      </c>
      <c r="C86" s="44"/>
      <c r="D86" s="51" t="b">
        <v>0</v>
      </c>
      <c r="E86" s="51">
        <v>72</v>
      </c>
    </row>
    <row r="87" spans="1:5" ht="38" x14ac:dyDescent="0.2">
      <c r="A87" s="68" t="s">
        <v>672</v>
      </c>
      <c r="B87" s="10" t="s">
        <v>671</v>
      </c>
      <c r="C87" s="44"/>
      <c r="D87" s="51" t="b">
        <v>0</v>
      </c>
      <c r="E87" s="51">
        <v>39</v>
      </c>
    </row>
    <row r="89" spans="1:5" x14ac:dyDescent="0.2">
      <c r="A89" s="6" t="s">
        <v>762</v>
      </c>
      <c r="B89" s="6">
        <f>COUNTA(D4:D87)</f>
        <v>80</v>
      </c>
    </row>
    <row r="90" spans="1:5" x14ac:dyDescent="0.2">
      <c r="A90" s="6" t="s">
        <v>37</v>
      </c>
      <c r="B90" s="6">
        <f>COUNTIF(D4:D87, TRUE)</f>
        <v>0</v>
      </c>
    </row>
    <row r="91" spans="1:5" x14ac:dyDescent="0.2">
      <c r="A91" s="6" t="s">
        <v>38</v>
      </c>
      <c r="B91" s="52">
        <f>(B90/B89)*100</f>
        <v>0</v>
      </c>
    </row>
  </sheetData>
  <mergeCells count="7">
    <mergeCell ref="A77:C77"/>
    <mergeCell ref="A16:C16"/>
    <mergeCell ref="A1:C1"/>
    <mergeCell ref="A2:C2"/>
    <mergeCell ref="A27:C27"/>
    <mergeCell ref="A3:C3"/>
    <mergeCell ref="A75:C7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30" r:id="rId3" name="Check Box 90">
              <controlPr defaultSize="0" autoFill="0" autoLine="0" autoPict="0">
                <anchor moveWithCells="1">
                  <from>
                    <xdr:col>2</xdr:col>
                    <xdr:colOff>330200</xdr:colOff>
                    <xdr:row>3</xdr:row>
                    <xdr:rowOff>177800</xdr:rowOff>
                  </from>
                  <to>
                    <xdr:col>2</xdr:col>
                    <xdr:colOff>596900</xdr:colOff>
                    <xdr:row>3</xdr:row>
                    <xdr:rowOff>368300</xdr:rowOff>
                  </to>
                </anchor>
              </controlPr>
            </control>
          </mc:Choice>
        </mc:AlternateContent>
        <mc:AlternateContent xmlns:mc="http://schemas.openxmlformats.org/markup-compatibility/2006">
          <mc:Choice Requires="x14">
            <control shapeId="10331" r:id="rId4" name="Check Box 91">
              <controlPr defaultSize="0" autoFill="0" autoLine="0" autoPict="0">
                <anchor moveWithCells="1">
                  <from>
                    <xdr:col>2</xdr:col>
                    <xdr:colOff>330200</xdr:colOff>
                    <xdr:row>4</xdr:row>
                    <xdr:rowOff>177800</xdr:rowOff>
                  </from>
                  <to>
                    <xdr:col>2</xdr:col>
                    <xdr:colOff>596900</xdr:colOff>
                    <xdr:row>4</xdr:row>
                    <xdr:rowOff>368300</xdr:rowOff>
                  </to>
                </anchor>
              </controlPr>
            </control>
          </mc:Choice>
        </mc:AlternateContent>
        <mc:AlternateContent xmlns:mc="http://schemas.openxmlformats.org/markup-compatibility/2006">
          <mc:Choice Requires="x14">
            <control shapeId="10332" r:id="rId5" name="Check Box 92">
              <controlPr defaultSize="0" autoFill="0" autoLine="0" autoPict="0">
                <anchor moveWithCells="1">
                  <from>
                    <xdr:col>2</xdr:col>
                    <xdr:colOff>330200</xdr:colOff>
                    <xdr:row>5</xdr:row>
                    <xdr:rowOff>177800</xdr:rowOff>
                  </from>
                  <to>
                    <xdr:col>2</xdr:col>
                    <xdr:colOff>596900</xdr:colOff>
                    <xdr:row>5</xdr:row>
                    <xdr:rowOff>368300</xdr:rowOff>
                  </to>
                </anchor>
              </controlPr>
            </control>
          </mc:Choice>
        </mc:AlternateContent>
        <mc:AlternateContent xmlns:mc="http://schemas.openxmlformats.org/markup-compatibility/2006">
          <mc:Choice Requires="x14">
            <control shapeId="10333" r:id="rId6" name="Check Box 93">
              <controlPr defaultSize="0" autoFill="0" autoLine="0" autoPict="0">
                <anchor moveWithCells="1">
                  <from>
                    <xdr:col>2</xdr:col>
                    <xdr:colOff>330200</xdr:colOff>
                    <xdr:row>6</xdr:row>
                    <xdr:rowOff>177800</xdr:rowOff>
                  </from>
                  <to>
                    <xdr:col>2</xdr:col>
                    <xdr:colOff>596900</xdr:colOff>
                    <xdr:row>6</xdr:row>
                    <xdr:rowOff>368300</xdr:rowOff>
                  </to>
                </anchor>
              </controlPr>
            </control>
          </mc:Choice>
        </mc:AlternateContent>
        <mc:AlternateContent xmlns:mc="http://schemas.openxmlformats.org/markup-compatibility/2006">
          <mc:Choice Requires="x14">
            <control shapeId="10334" r:id="rId7" name="Check Box 94">
              <controlPr defaultSize="0" autoFill="0" autoLine="0" autoPict="0">
                <anchor moveWithCells="1">
                  <from>
                    <xdr:col>2</xdr:col>
                    <xdr:colOff>330200</xdr:colOff>
                    <xdr:row>7</xdr:row>
                    <xdr:rowOff>25400</xdr:rowOff>
                  </from>
                  <to>
                    <xdr:col>2</xdr:col>
                    <xdr:colOff>596900</xdr:colOff>
                    <xdr:row>7</xdr:row>
                    <xdr:rowOff>215900</xdr:rowOff>
                  </to>
                </anchor>
              </controlPr>
            </control>
          </mc:Choice>
        </mc:AlternateContent>
        <mc:AlternateContent xmlns:mc="http://schemas.openxmlformats.org/markup-compatibility/2006">
          <mc:Choice Requires="x14">
            <control shapeId="10335" r:id="rId8" name="Check Box 95">
              <controlPr defaultSize="0" autoFill="0" autoLine="0" autoPict="0">
                <anchor moveWithCells="1">
                  <from>
                    <xdr:col>2</xdr:col>
                    <xdr:colOff>330200</xdr:colOff>
                    <xdr:row>8</xdr:row>
                    <xdr:rowOff>25400</xdr:rowOff>
                  </from>
                  <to>
                    <xdr:col>2</xdr:col>
                    <xdr:colOff>596900</xdr:colOff>
                    <xdr:row>8</xdr:row>
                    <xdr:rowOff>215900</xdr:rowOff>
                  </to>
                </anchor>
              </controlPr>
            </control>
          </mc:Choice>
        </mc:AlternateContent>
        <mc:AlternateContent xmlns:mc="http://schemas.openxmlformats.org/markup-compatibility/2006">
          <mc:Choice Requires="x14">
            <control shapeId="10336" r:id="rId9" name="Check Box 96">
              <controlPr defaultSize="0" autoFill="0" autoLine="0" autoPict="0">
                <anchor moveWithCells="1">
                  <from>
                    <xdr:col>2</xdr:col>
                    <xdr:colOff>330200</xdr:colOff>
                    <xdr:row>9</xdr:row>
                    <xdr:rowOff>177800</xdr:rowOff>
                  </from>
                  <to>
                    <xdr:col>2</xdr:col>
                    <xdr:colOff>596900</xdr:colOff>
                    <xdr:row>9</xdr:row>
                    <xdr:rowOff>368300</xdr:rowOff>
                  </to>
                </anchor>
              </controlPr>
            </control>
          </mc:Choice>
        </mc:AlternateContent>
        <mc:AlternateContent xmlns:mc="http://schemas.openxmlformats.org/markup-compatibility/2006">
          <mc:Choice Requires="x14">
            <control shapeId="10337" r:id="rId10" name="Check Box 97">
              <controlPr defaultSize="0" autoFill="0" autoLine="0" autoPict="0">
                <anchor moveWithCells="1">
                  <from>
                    <xdr:col>2</xdr:col>
                    <xdr:colOff>330200</xdr:colOff>
                    <xdr:row>10</xdr:row>
                    <xdr:rowOff>177800</xdr:rowOff>
                  </from>
                  <to>
                    <xdr:col>2</xdr:col>
                    <xdr:colOff>596900</xdr:colOff>
                    <xdr:row>10</xdr:row>
                    <xdr:rowOff>368300</xdr:rowOff>
                  </to>
                </anchor>
              </controlPr>
            </control>
          </mc:Choice>
        </mc:AlternateContent>
        <mc:AlternateContent xmlns:mc="http://schemas.openxmlformats.org/markup-compatibility/2006">
          <mc:Choice Requires="x14">
            <control shapeId="10338" r:id="rId11" name="Check Box 98">
              <controlPr defaultSize="0" autoFill="0" autoLine="0" autoPict="0">
                <anchor moveWithCells="1">
                  <from>
                    <xdr:col>2</xdr:col>
                    <xdr:colOff>330200</xdr:colOff>
                    <xdr:row>11</xdr:row>
                    <xdr:rowOff>177800</xdr:rowOff>
                  </from>
                  <to>
                    <xdr:col>2</xdr:col>
                    <xdr:colOff>596900</xdr:colOff>
                    <xdr:row>11</xdr:row>
                    <xdr:rowOff>368300</xdr:rowOff>
                  </to>
                </anchor>
              </controlPr>
            </control>
          </mc:Choice>
        </mc:AlternateContent>
        <mc:AlternateContent xmlns:mc="http://schemas.openxmlformats.org/markup-compatibility/2006">
          <mc:Choice Requires="x14">
            <control shapeId="10339" r:id="rId12" name="Check Box 99">
              <controlPr defaultSize="0" autoFill="0" autoLine="0" autoPict="0">
                <anchor moveWithCells="1">
                  <from>
                    <xdr:col>2</xdr:col>
                    <xdr:colOff>330200</xdr:colOff>
                    <xdr:row>12</xdr:row>
                    <xdr:rowOff>177800</xdr:rowOff>
                  </from>
                  <to>
                    <xdr:col>2</xdr:col>
                    <xdr:colOff>596900</xdr:colOff>
                    <xdr:row>12</xdr:row>
                    <xdr:rowOff>368300</xdr:rowOff>
                  </to>
                </anchor>
              </controlPr>
            </control>
          </mc:Choice>
        </mc:AlternateContent>
        <mc:AlternateContent xmlns:mc="http://schemas.openxmlformats.org/markup-compatibility/2006">
          <mc:Choice Requires="x14">
            <control shapeId="10340" r:id="rId13" name="Check Box 100">
              <controlPr defaultSize="0" autoFill="0" autoLine="0" autoPict="0">
                <anchor moveWithCells="1">
                  <from>
                    <xdr:col>2</xdr:col>
                    <xdr:colOff>330200</xdr:colOff>
                    <xdr:row>13</xdr:row>
                    <xdr:rowOff>177800</xdr:rowOff>
                  </from>
                  <to>
                    <xdr:col>2</xdr:col>
                    <xdr:colOff>596900</xdr:colOff>
                    <xdr:row>13</xdr:row>
                    <xdr:rowOff>368300</xdr:rowOff>
                  </to>
                </anchor>
              </controlPr>
            </control>
          </mc:Choice>
        </mc:AlternateContent>
        <mc:AlternateContent xmlns:mc="http://schemas.openxmlformats.org/markup-compatibility/2006">
          <mc:Choice Requires="x14">
            <control shapeId="10341" r:id="rId14" name="Check Box 101">
              <controlPr defaultSize="0" autoFill="0" autoLine="0" autoPict="0">
                <anchor moveWithCells="1">
                  <from>
                    <xdr:col>2</xdr:col>
                    <xdr:colOff>330200</xdr:colOff>
                    <xdr:row>14</xdr:row>
                    <xdr:rowOff>177800</xdr:rowOff>
                  </from>
                  <to>
                    <xdr:col>2</xdr:col>
                    <xdr:colOff>596900</xdr:colOff>
                    <xdr:row>14</xdr:row>
                    <xdr:rowOff>368300</xdr:rowOff>
                  </to>
                </anchor>
              </controlPr>
            </control>
          </mc:Choice>
        </mc:AlternateContent>
        <mc:AlternateContent xmlns:mc="http://schemas.openxmlformats.org/markup-compatibility/2006">
          <mc:Choice Requires="x14">
            <control shapeId="10342" r:id="rId15" name="Check Box 102">
              <controlPr defaultSize="0" autoFill="0" autoLine="0" autoPict="0">
                <anchor moveWithCells="1">
                  <from>
                    <xdr:col>2</xdr:col>
                    <xdr:colOff>330200</xdr:colOff>
                    <xdr:row>16</xdr:row>
                    <xdr:rowOff>25400</xdr:rowOff>
                  </from>
                  <to>
                    <xdr:col>2</xdr:col>
                    <xdr:colOff>596900</xdr:colOff>
                    <xdr:row>16</xdr:row>
                    <xdr:rowOff>215900</xdr:rowOff>
                  </to>
                </anchor>
              </controlPr>
            </control>
          </mc:Choice>
        </mc:AlternateContent>
        <mc:AlternateContent xmlns:mc="http://schemas.openxmlformats.org/markup-compatibility/2006">
          <mc:Choice Requires="x14">
            <control shapeId="10343" r:id="rId16" name="Check Box 103">
              <controlPr defaultSize="0" autoFill="0" autoLine="0" autoPict="0">
                <anchor moveWithCells="1">
                  <from>
                    <xdr:col>2</xdr:col>
                    <xdr:colOff>330200</xdr:colOff>
                    <xdr:row>17</xdr:row>
                    <xdr:rowOff>25400</xdr:rowOff>
                  </from>
                  <to>
                    <xdr:col>2</xdr:col>
                    <xdr:colOff>596900</xdr:colOff>
                    <xdr:row>17</xdr:row>
                    <xdr:rowOff>215900</xdr:rowOff>
                  </to>
                </anchor>
              </controlPr>
            </control>
          </mc:Choice>
        </mc:AlternateContent>
        <mc:AlternateContent xmlns:mc="http://schemas.openxmlformats.org/markup-compatibility/2006">
          <mc:Choice Requires="x14">
            <control shapeId="10344" r:id="rId17" name="Check Box 104">
              <controlPr defaultSize="0" autoFill="0" autoLine="0" autoPict="0">
                <anchor moveWithCells="1">
                  <from>
                    <xdr:col>2</xdr:col>
                    <xdr:colOff>330200</xdr:colOff>
                    <xdr:row>18</xdr:row>
                    <xdr:rowOff>25400</xdr:rowOff>
                  </from>
                  <to>
                    <xdr:col>2</xdr:col>
                    <xdr:colOff>596900</xdr:colOff>
                    <xdr:row>18</xdr:row>
                    <xdr:rowOff>215900</xdr:rowOff>
                  </to>
                </anchor>
              </controlPr>
            </control>
          </mc:Choice>
        </mc:AlternateContent>
        <mc:AlternateContent xmlns:mc="http://schemas.openxmlformats.org/markup-compatibility/2006">
          <mc:Choice Requires="x14">
            <control shapeId="10345" r:id="rId18" name="Check Box 105">
              <controlPr defaultSize="0" autoFill="0" autoLine="0" autoPict="0">
                <anchor moveWithCells="1">
                  <from>
                    <xdr:col>2</xdr:col>
                    <xdr:colOff>330200</xdr:colOff>
                    <xdr:row>19</xdr:row>
                    <xdr:rowOff>25400</xdr:rowOff>
                  </from>
                  <to>
                    <xdr:col>2</xdr:col>
                    <xdr:colOff>596900</xdr:colOff>
                    <xdr:row>19</xdr:row>
                    <xdr:rowOff>215900</xdr:rowOff>
                  </to>
                </anchor>
              </controlPr>
            </control>
          </mc:Choice>
        </mc:AlternateContent>
        <mc:AlternateContent xmlns:mc="http://schemas.openxmlformats.org/markup-compatibility/2006">
          <mc:Choice Requires="x14">
            <control shapeId="10346" r:id="rId19" name="Check Box 106">
              <controlPr defaultSize="0" autoFill="0" autoLine="0" autoPict="0">
                <anchor moveWithCells="1">
                  <from>
                    <xdr:col>2</xdr:col>
                    <xdr:colOff>330200</xdr:colOff>
                    <xdr:row>20</xdr:row>
                    <xdr:rowOff>25400</xdr:rowOff>
                  </from>
                  <to>
                    <xdr:col>2</xdr:col>
                    <xdr:colOff>596900</xdr:colOff>
                    <xdr:row>20</xdr:row>
                    <xdr:rowOff>215900</xdr:rowOff>
                  </to>
                </anchor>
              </controlPr>
            </control>
          </mc:Choice>
        </mc:AlternateContent>
        <mc:AlternateContent xmlns:mc="http://schemas.openxmlformats.org/markup-compatibility/2006">
          <mc:Choice Requires="x14">
            <control shapeId="10347" r:id="rId20" name="Check Box 107">
              <controlPr defaultSize="0" autoFill="0" autoLine="0" autoPict="0">
                <anchor moveWithCells="1">
                  <from>
                    <xdr:col>2</xdr:col>
                    <xdr:colOff>330200</xdr:colOff>
                    <xdr:row>21</xdr:row>
                    <xdr:rowOff>25400</xdr:rowOff>
                  </from>
                  <to>
                    <xdr:col>2</xdr:col>
                    <xdr:colOff>596900</xdr:colOff>
                    <xdr:row>21</xdr:row>
                    <xdr:rowOff>215900</xdr:rowOff>
                  </to>
                </anchor>
              </controlPr>
            </control>
          </mc:Choice>
        </mc:AlternateContent>
        <mc:AlternateContent xmlns:mc="http://schemas.openxmlformats.org/markup-compatibility/2006">
          <mc:Choice Requires="x14">
            <control shapeId="10348" r:id="rId21" name="Check Box 108">
              <controlPr defaultSize="0" autoFill="0" autoLine="0" autoPict="0">
                <anchor moveWithCells="1">
                  <from>
                    <xdr:col>2</xdr:col>
                    <xdr:colOff>330200</xdr:colOff>
                    <xdr:row>22</xdr:row>
                    <xdr:rowOff>25400</xdr:rowOff>
                  </from>
                  <to>
                    <xdr:col>2</xdr:col>
                    <xdr:colOff>596900</xdr:colOff>
                    <xdr:row>22</xdr:row>
                    <xdr:rowOff>215900</xdr:rowOff>
                  </to>
                </anchor>
              </controlPr>
            </control>
          </mc:Choice>
        </mc:AlternateContent>
        <mc:AlternateContent xmlns:mc="http://schemas.openxmlformats.org/markup-compatibility/2006">
          <mc:Choice Requires="x14">
            <control shapeId="10349" r:id="rId22" name="Check Box 109">
              <controlPr defaultSize="0" autoFill="0" autoLine="0" autoPict="0">
                <anchor moveWithCells="1">
                  <from>
                    <xdr:col>2</xdr:col>
                    <xdr:colOff>330200</xdr:colOff>
                    <xdr:row>23</xdr:row>
                    <xdr:rowOff>25400</xdr:rowOff>
                  </from>
                  <to>
                    <xdr:col>2</xdr:col>
                    <xdr:colOff>596900</xdr:colOff>
                    <xdr:row>23</xdr:row>
                    <xdr:rowOff>215900</xdr:rowOff>
                  </to>
                </anchor>
              </controlPr>
            </control>
          </mc:Choice>
        </mc:AlternateContent>
        <mc:AlternateContent xmlns:mc="http://schemas.openxmlformats.org/markup-compatibility/2006">
          <mc:Choice Requires="x14">
            <control shapeId="10350" r:id="rId23" name="Check Box 110">
              <controlPr defaultSize="0" autoFill="0" autoLine="0" autoPict="0">
                <anchor moveWithCells="1">
                  <from>
                    <xdr:col>2</xdr:col>
                    <xdr:colOff>330200</xdr:colOff>
                    <xdr:row>24</xdr:row>
                    <xdr:rowOff>25400</xdr:rowOff>
                  </from>
                  <to>
                    <xdr:col>2</xdr:col>
                    <xdr:colOff>596900</xdr:colOff>
                    <xdr:row>24</xdr:row>
                    <xdr:rowOff>215900</xdr:rowOff>
                  </to>
                </anchor>
              </controlPr>
            </control>
          </mc:Choice>
        </mc:AlternateContent>
        <mc:AlternateContent xmlns:mc="http://schemas.openxmlformats.org/markup-compatibility/2006">
          <mc:Choice Requires="x14">
            <control shapeId="10351" r:id="rId24" name="Check Box 111">
              <controlPr defaultSize="0" autoFill="0" autoLine="0" autoPict="0">
                <anchor moveWithCells="1">
                  <from>
                    <xdr:col>2</xdr:col>
                    <xdr:colOff>330200</xdr:colOff>
                    <xdr:row>25</xdr:row>
                    <xdr:rowOff>25400</xdr:rowOff>
                  </from>
                  <to>
                    <xdr:col>2</xdr:col>
                    <xdr:colOff>596900</xdr:colOff>
                    <xdr:row>25</xdr:row>
                    <xdr:rowOff>215900</xdr:rowOff>
                  </to>
                </anchor>
              </controlPr>
            </control>
          </mc:Choice>
        </mc:AlternateContent>
        <mc:AlternateContent xmlns:mc="http://schemas.openxmlformats.org/markup-compatibility/2006">
          <mc:Choice Requires="x14">
            <control shapeId="10352" r:id="rId25" name="Check Box 112">
              <controlPr defaultSize="0" autoFill="0" autoLine="0" autoPict="0">
                <anchor moveWithCells="1">
                  <from>
                    <xdr:col>2</xdr:col>
                    <xdr:colOff>330200</xdr:colOff>
                    <xdr:row>27</xdr:row>
                    <xdr:rowOff>25400</xdr:rowOff>
                  </from>
                  <to>
                    <xdr:col>2</xdr:col>
                    <xdr:colOff>596900</xdr:colOff>
                    <xdr:row>27</xdr:row>
                    <xdr:rowOff>215900</xdr:rowOff>
                  </to>
                </anchor>
              </controlPr>
            </control>
          </mc:Choice>
        </mc:AlternateContent>
        <mc:AlternateContent xmlns:mc="http://schemas.openxmlformats.org/markup-compatibility/2006">
          <mc:Choice Requires="x14">
            <control shapeId="10353" r:id="rId26" name="Check Box 113">
              <controlPr defaultSize="0" autoFill="0" autoLine="0" autoPict="0">
                <anchor moveWithCells="1">
                  <from>
                    <xdr:col>2</xdr:col>
                    <xdr:colOff>330200</xdr:colOff>
                    <xdr:row>28</xdr:row>
                    <xdr:rowOff>25400</xdr:rowOff>
                  </from>
                  <to>
                    <xdr:col>2</xdr:col>
                    <xdr:colOff>596900</xdr:colOff>
                    <xdr:row>28</xdr:row>
                    <xdr:rowOff>215900</xdr:rowOff>
                  </to>
                </anchor>
              </controlPr>
            </control>
          </mc:Choice>
        </mc:AlternateContent>
        <mc:AlternateContent xmlns:mc="http://schemas.openxmlformats.org/markup-compatibility/2006">
          <mc:Choice Requires="x14">
            <control shapeId="10354" r:id="rId27" name="Check Box 114">
              <controlPr defaultSize="0" autoFill="0" autoLine="0" autoPict="0">
                <anchor moveWithCells="1">
                  <from>
                    <xdr:col>2</xdr:col>
                    <xdr:colOff>330200</xdr:colOff>
                    <xdr:row>29</xdr:row>
                    <xdr:rowOff>25400</xdr:rowOff>
                  </from>
                  <to>
                    <xdr:col>2</xdr:col>
                    <xdr:colOff>596900</xdr:colOff>
                    <xdr:row>29</xdr:row>
                    <xdr:rowOff>215900</xdr:rowOff>
                  </to>
                </anchor>
              </controlPr>
            </control>
          </mc:Choice>
        </mc:AlternateContent>
        <mc:AlternateContent xmlns:mc="http://schemas.openxmlformats.org/markup-compatibility/2006">
          <mc:Choice Requires="x14">
            <control shapeId="10355" r:id="rId28" name="Check Box 115">
              <controlPr defaultSize="0" autoFill="0" autoLine="0" autoPict="0">
                <anchor moveWithCells="1">
                  <from>
                    <xdr:col>2</xdr:col>
                    <xdr:colOff>330200</xdr:colOff>
                    <xdr:row>30</xdr:row>
                    <xdr:rowOff>25400</xdr:rowOff>
                  </from>
                  <to>
                    <xdr:col>2</xdr:col>
                    <xdr:colOff>596900</xdr:colOff>
                    <xdr:row>30</xdr:row>
                    <xdr:rowOff>215900</xdr:rowOff>
                  </to>
                </anchor>
              </controlPr>
            </control>
          </mc:Choice>
        </mc:AlternateContent>
        <mc:AlternateContent xmlns:mc="http://schemas.openxmlformats.org/markup-compatibility/2006">
          <mc:Choice Requires="x14">
            <control shapeId="10356" r:id="rId29" name="Check Box 116">
              <controlPr defaultSize="0" autoFill="0" autoLine="0" autoPict="0">
                <anchor moveWithCells="1">
                  <from>
                    <xdr:col>2</xdr:col>
                    <xdr:colOff>330200</xdr:colOff>
                    <xdr:row>31</xdr:row>
                    <xdr:rowOff>25400</xdr:rowOff>
                  </from>
                  <to>
                    <xdr:col>2</xdr:col>
                    <xdr:colOff>596900</xdr:colOff>
                    <xdr:row>31</xdr:row>
                    <xdr:rowOff>215900</xdr:rowOff>
                  </to>
                </anchor>
              </controlPr>
            </control>
          </mc:Choice>
        </mc:AlternateContent>
        <mc:AlternateContent xmlns:mc="http://schemas.openxmlformats.org/markup-compatibility/2006">
          <mc:Choice Requires="x14">
            <control shapeId="10357" r:id="rId30" name="Check Box 117">
              <controlPr defaultSize="0" autoFill="0" autoLine="0" autoPict="0">
                <anchor moveWithCells="1">
                  <from>
                    <xdr:col>2</xdr:col>
                    <xdr:colOff>330200</xdr:colOff>
                    <xdr:row>32</xdr:row>
                    <xdr:rowOff>25400</xdr:rowOff>
                  </from>
                  <to>
                    <xdr:col>2</xdr:col>
                    <xdr:colOff>596900</xdr:colOff>
                    <xdr:row>32</xdr:row>
                    <xdr:rowOff>215900</xdr:rowOff>
                  </to>
                </anchor>
              </controlPr>
            </control>
          </mc:Choice>
        </mc:AlternateContent>
        <mc:AlternateContent xmlns:mc="http://schemas.openxmlformats.org/markup-compatibility/2006">
          <mc:Choice Requires="x14">
            <control shapeId="10358" r:id="rId31" name="Check Box 118">
              <controlPr defaultSize="0" autoFill="0" autoLine="0" autoPict="0">
                <anchor moveWithCells="1">
                  <from>
                    <xdr:col>2</xdr:col>
                    <xdr:colOff>330200</xdr:colOff>
                    <xdr:row>33</xdr:row>
                    <xdr:rowOff>25400</xdr:rowOff>
                  </from>
                  <to>
                    <xdr:col>2</xdr:col>
                    <xdr:colOff>596900</xdr:colOff>
                    <xdr:row>33</xdr:row>
                    <xdr:rowOff>215900</xdr:rowOff>
                  </to>
                </anchor>
              </controlPr>
            </control>
          </mc:Choice>
        </mc:AlternateContent>
        <mc:AlternateContent xmlns:mc="http://schemas.openxmlformats.org/markup-compatibility/2006">
          <mc:Choice Requires="x14">
            <control shapeId="10359" r:id="rId32" name="Check Box 119">
              <controlPr defaultSize="0" autoFill="0" autoLine="0" autoPict="0">
                <anchor moveWithCells="1">
                  <from>
                    <xdr:col>2</xdr:col>
                    <xdr:colOff>330200</xdr:colOff>
                    <xdr:row>34</xdr:row>
                    <xdr:rowOff>25400</xdr:rowOff>
                  </from>
                  <to>
                    <xdr:col>2</xdr:col>
                    <xdr:colOff>596900</xdr:colOff>
                    <xdr:row>34</xdr:row>
                    <xdr:rowOff>215900</xdr:rowOff>
                  </to>
                </anchor>
              </controlPr>
            </control>
          </mc:Choice>
        </mc:AlternateContent>
        <mc:AlternateContent xmlns:mc="http://schemas.openxmlformats.org/markup-compatibility/2006">
          <mc:Choice Requires="x14">
            <control shapeId="10360" r:id="rId33" name="Check Box 120">
              <controlPr defaultSize="0" autoFill="0" autoLine="0" autoPict="0">
                <anchor moveWithCells="1">
                  <from>
                    <xdr:col>2</xdr:col>
                    <xdr:colOff>330200</xdr:colOff>
                    <xdr:row>35</xdr:row>
                    <xdr:rowOff>25400</xdr:rowOff>
                  </from>
                  <to>
                    <xdr:col>2</xdr:col>
                    <xdr:colOff>596900</xdr:colOff>
                    <xdr:row>35</xdr:row>
                    <xdr:rowOff>215900</xdr:rowOff>
                  </to>
                </anchor>
              </controlPr>
            </control>
          </mc:Choice>
        </mc:AlternateContent>
        <mc:AlternateContent xmlns:mc="http://schemas.openxmlformats.org/markup-compatibility/2006">
          <mc:Choice Requires="x14">
            <control shapeId="10361" r:id="rId34" name="Check Box 121">
              <controlPr defaultSize="0" autoFill="0" autoLine="0" autoPict="0">
                <anchor moveWithCells="1">
                  <from>
                    <xdr:col>2</xdr:col>
                    <xdr:colOff>330200</xdr:colOff>
                    <xdr:row>36</xdr:row>
                    <xdr:rowOff>25400</xdr:rowOff>
                  </from>
                  <to>
                    <xdr:col>2</xdr:col>
                    <xdr:colOff>596900</xdr:colOff>
                    <xdr:row>36</xdr:row>
                    <xdr:rowOff>215900</xdr:rowOff>
                  </to>
                </anchor>
              </controlPr>
            </control>
          </mc:Choice>
        </mc:AlternateContent>
        <mc:AlternateContent xmlns:mc="http://schemas.openxmlformats.org/markup-compatibility/2006">
          <mc:Choice Requires="x14">
            <control shapeId="10362" r:id="rId35" name="Check Box 122">
              <controlPr defaultSize="0" autoFill="0" autoLine="0" autoPict="0">
                <anchor moveWithCells="1">
                  <from>
                    <xdr:col>2</xdr:col>
                    <xdr:colOff>330200</xdr:colOff>
                    <xdr:row>37</xdr:row>
                    <xdr:rowOff>25400</xdr:rowOff>
                  </from>
                  <to>
                    <xdr:col>2</xdr:col>
                    <xdr:colOff>596900</xdr:colOff>
                    <xdr:row>37</xdr:row>
                    <xdr:rowOff>215900</xdr:rowOff>
                  </to>
                </anchor>
              </controlPr>
            </control>
          </mc:Choice>
        </mc:AlternateContent>
        <mc:AlternateContent xmlns:mc="http://schemas.openxmlformats.org/markup-compatibility/2006">
          <mc:Choice Requires="x14">
            <control shapeId="10363" r:id="rId36" name="Check Box 123">
              <controlPr defaultSize="0" autoFill="0" autoLine="0" autoPict="0">
                <anchor moveWithCells="1">
                  <from>
                    <xdr:col>2</xdr:col>
                    <xdr:colOff>330200</xdr:colOff>
                    <xdr:row>38</xdr:row>
                    <xdr:rowOff>25400</xdr:rowOff>
                  </from>
                  <to>
                    <xdr:col>2</xdr:col>
                    <xdr:colOff>596900</xdr:colOff>
                    <xdr:row>38</xdr:row>
                    <xdr:rowOff>215900</xdr:rowOff>
                  </to>
                </anchor>
              </controlPr>
            </control>
          </mc:Choice>
        </mc:AlternateContent>
        <mc:AlternateContent xmlns:mc="http://schemas.openxmlformats.org/markup-compatibility/2006">
          <mc:Choice Requires="x14">
            <control shapeId="10364" r:id="rId37" name="Check Box 124">
              <controlPr defaultSize="0" autoFill="0" autoLine="0" autoPict="0">
                <anchor moveWithCells="1">
                  <from>
                    <xdr:col>2</xdr:col>
                    <xdr:colOff>330200</xdr:colOff>
                    <xdr:row>39</xdr:row>
                    <xdr:rowOff>25400</xdr:rowOff>
                  </from>
                  <to>
                    <xdr:col>2</xdr:col>
                    <xdr:colOff>596900</xdr:colOff>
                    <xdr:row>39</xdr:row>
                    <xdr:rowOff>215900</xdr:rowOff>
                  </to>
                </anchor>
              </controlPr>
            </control>
          </mc:Choice>
        </mc:AlternateContent>
        <mc:AlternateContent xmlns:mc="http://schemas.openxmlformats.org/markup-compatibility/2006">
          <mc:Choice Requires="x14">
            <control shapeId="10365" r:id="rId38" name="Check Box 125">
              <controlPr defaultSize="0" autoFill="0" autoLine="0" autoPict="0">
                <anchor moveWithCells="1">
                  <from>
                    <xdr:col>2</xdr:col>
                    <xdr:colOff>330200</xdr:colOff>
                    <xdr:row>40</xdr:row>
                    <xdr:rowOff>25400</xdr:rowOff>
                  </from>
                  <to>
                    <xdr:col>2</xdr:col>
                    <xdr:colOff>596900</xdr:colOff>
                    <xdr:row>40</xdr:row>
                    <xdr:rowOff>215900</xdr:rowOff>
                  </to>
                </anchor>
              </controlPr>
            </control>
          </mc:Choice>
        </mc:AlternateContent>
        <mc:AlternateContent xmlns:mc="http://schemas.openxmlformats.org/markup-compatibility/2006">
          <mc:Choice Requires="x14">
            <control shapeId="10366" r:id="rId39" name="Check Box 126">
              <controlPr defaultSize="0" autoFill="0" autoLine="0" autoPict="0">
                <anchor moveWithCells="1">
                  <from>
                    <xdr:col>2</xdr:col>
                    <xdr:colOff>330200</xdr:colOff>
                    <xdr:row>41</xdr:row>
                    <xdr:rowOff>25400</xdr:rowOff>
                  </from>
                  <to>
                    <xdr:col>2</xdr:col>
                    <xdr:colOff>596900</xdr:colOff>
                    <xdr:row>41</xdr:row>
                    <xdr:rowOff>215900</xdr:rowOff>
                  </to>
                </anchor>
              </controlPr>
            </control>
          </mc:Choice>
        </mc:AlternateContent>
        <mc:AlternateContent xmlns:mc="http://schemas.openxmlformats.org/markup-compatibility/2006">
          <mc:Choice Requires="x14">
            <control shapeId="10367" r:id="rId40" name="Check Box 127">
              <controlPr defaultSize="0" autoFill="0" autoLine="0" autoPict="0">
                <anchor moveWithCells="1">
                  <from>
                    <xdr:col>2</xdr:col>
                    <xdr:colOff>330200</xdr:colOff>
                    <xdr:row>42</xdr:row>
                    <xdr:rowOff>25400</xdr:rowOff>
                  </from>
                  <to>
                    <xdr:col>2</xdr:col>
                    <xdr:colOff>596900</xdr:colOff>
                    <xdr:row>42</xdr:row>
                    <xdr:rowOff>215900</xdr:rowOff>
                  </to>
                </anchor>
              </controlPr>
            </control>
          </mc:Choice>
        </mc:AlternateContent>
        <mc:AlternateContent xmlns:mc="http://schemas.openxmlformats.org/markup-compatibility/2006">
          <mc:Choice Requires="x14">
            <control shapeId="10368" r:id="rId41" name="Check Box 128">
              <controlPr defaultSize="0" autoFill="0" autoLine="0" autoPict="0">
                <anchor moveWithCells="1">
                  <from>
                    <xdr:col>2</xdr:col>
                    <xdr:colOff>330200</xdr:colOff>
                    <xdr:row>43</xdr:row>
                    <xdr:rowOff>25400</xdr:rowOff>
                  </from>
                  <to>
                    <xdr:col>2</xdr:col>
                    <xdr:colOff>596900</xdr:colOff>
                    <xdr:row>43</xdr:row>
                    <xdr:rowOff>215900</xdr:rowOff>
                  </to>
                </anchor>
              </controlPr>
            </control>
          </mc:Choice>
        </mc:AlternateContent>
        <mc:AlternateContent xmlns:mc="http://schemas.openxmlformats.org/markup-compatibility/2006">
          <mc:Choice Requires="x14">
            <control shapeId="10369" r:id="rId42" name="Check Box 129">
              <controlPr defaultSize="0" autoFill="0" autoLine="0" autoPict="0">
                <anchor moveWithCells="1">
                  <from>
                    <xdr:col>2</xdr:col>
                    <xdr:colOff>330200</xdr:colOff>
                    <xdr:row>44</xdr:row>
                    <xdr:rowOff>25400</xdr:rowOff>
                  </from>
                  <to>
                    <xdr:col>2</xdr:col>
                    <xdr:colOff>596900</xdr:colOff>
                    <xdr:row>44</xdr:row>
                    <xdr:rowOff>215900</xdr:rowOff>
                  </to>
                </anchor>
              </controlPr>
            </control>
          </mc:Choice>
        </mc:AlternateContent>
        <mc:AlternateContent xmlns:mc="http://schemas.openxmlformats.org/markup-compatibility/2006">
          <mc:Choice Requires="x14">
            <control shapeId="10370" r:id="rId43" name="Check Box 130">
              <controlPr defaultSize="0" autoFill="0" autoLine="0" autoPict="0">
                <anchor moveWithCells="1">
                  <from>
                    <xdr:col>2</xdr:col>
                    <xdr:colOff>330200</xdr:colOff>
                    <xdr:row>45</xdr:row>
                    <xdr:rowOff>25400</xdr:rowOff>
                  </from>
                  <to>
                    <xdr:col>2</xdr:col>
                    <xdr:colOff>596900</xdr:colOff>
                    <xdr:row>45</xdr:row>
                    <xdr:rowOff>215900</xdr:rowOff>
                  </to>
                </anchor>
              </controlPr>
            </control>
          </mc:Choice>
        </mc:AlternateContent>
        <mc:AlternateContent xmlns:mc="http://schemas.openxmlformats.org/markup-compatibility/2006">
          <mc:Choice Requires="x14">
            <control shapeId="10371" r:id="rId44" name="Check Box 131">
              <controlPr defaultSize="0" autoFill="0" autoLine="0" autoPict="0">
                <anchor moveWithCells="1">
                  <from>
                    <xdr:col>2</xdr:col>
                    <xdr:colOff>330200</xdr:colOff>
                    <xdr:row>46</xdr:row>
                    <xdr:rowOff>25400</xdr:rowOff>
                  </from>
                  <to>
                    <xdr:col>2</xdr:col>
                    <xdr:colOff>596900</xdr:colOff>
                    <xdr:row>46</xdr:row>
                    <xdr:rowOff>215900</xdr:rowOff>
                  </to>
                </anchor>
              </controlPr>
            </control>
          </mc:Choice>
        </mc:AlternateContent>
        <mc:AlternateContent xmlns:mc="http://schemas.openxmlformats.org/markup-compatibility/2006">
          <mc:Choice Requires="x14">
            <control shapeId="10372" r:id="rId45" name="Check Box 132">
              <controlPr defaultSize="0" autoFill="0" autoLine="0" autoPict="0">
                <anchor moveWithCells="1">
                  <from>
                    <xdr:col>2</xdr:col>
                    <xdr:colOff>330200</xdr:colOff>
                    <xdr:row>47</xdr:row>
                    <xdr:rowOff>25400</xdr:rowOff>
                  </from>
                  <to>
                    <xdr:col>2</xdr:col>
                    <xdr:colOff>596900</xdr:colOff>
                    <xdr:row>47</xdr:row>
                    <xdr:rowOff>215900</xdr:rowOff>
                  </to>
                </anchor>
              </controlPr>
            </control>
          </mc:Choice>
        </mc:AlternateContent>
        <mc:AlternateContent xmlns:mc="http://schemas.openxmlformats.org/markup-compatibility/2006">
          <mc:Choice Requires="x14">
            <control shapeId="10373" r:id="rId46" name="Check Box 133">
              <controlPr defaultSize="0" autoFill="0" autoLine="0" autoPict="0">
                <anchor moveWithCells="1">
                  <from>
                    <xdr:col>2</xdr:col>
                    <xdr:colOff>330200</xdr:colOff>
                    <xdr:row>48</xdr:row>
                    <xdr:rowOff>25400</xdr:rowOff>
                  </from>
                  <to>
                    <xdr:col>2</xdr:col>
                    <xdr:colOff>596900</xdr:colOff>
                    <xdr:row>48</xdr:row>
                    <xdr:rowOff>215900</xdr:rowOff>
                  </to>
                </anchor>
              </controlPr>
            </control>
          </mc:Choice>
        </mc:AlternateContent>
        <mc:AlternateContent xmlns:mc="http://schemas.openxmlformats.org/markup-compatibility/2006">
          <mc:Choice Requires="x14">
            <control shapeId="10374" r:id="rId47" name="Check Box 134">
              <controlPr defaultSize="0" autoFill="0" autoLine="0" autoPict="0">
                <anchor moveWithCells="1">
                  <from>
                    <xdr:col>2</xdr:col>
                    <xdr:colOff>330200</xdr:colOff>
                    <xdr:row>49</xdr:row>
                    <xdr:rowOff>25400</xdr:rowOff>
                  </from>
                  <to>
                    <xdr:col>2</xdr:col>
                    <xdr:colOff>596900</xdr:colOff>
                    <xdr:row>49</xdr:row>
                    <xdr:rowOff>215900</xdr:rowOff>
                  </to>
                </anchor>
              </controlPr>
            </control>
          </mc:Choice>
        </mc:AlternateContent>
        <mc:AlternateContent xmlns:mc="http://schemas.openxmlformats.org/markup-compatibility/2006">
          <mc:Choice Requires="x14">
            <control shapeId="10375" r:id="rId48" name="Check Box 135">
              <controlPr defaultSize="0" autoFill="0" autoLine="0" autoPict="0">
                <anchor moveWithCells="1">
                  <from>
                    <xdr:col>2</xdr:col>
                    <xdr:colOff>330200</xdr:colOff>
                    <xdr:row>50</xdr:row>
                    <xdr:rowOff>25400</xdr:rowOff>
                  </from>
                  <to>
                    <xdr:col>2</xdr:col>
                    <xdr:colOff>596900</xdr:colOff>
                    <xdr:row>50</xdr:row>
                    <xdr:rowOff>215900</xdr:rowOff>
                  </to>
                </anchor>
              </controlPr>
            </control>
          </mc:Choice>
        </mc:AlternateContent>
        <mc:AlternateContent xmlns:mc="http://schemas.openxmlformats.org/markup-compatibility/2006">
          <mc:Choice Requires="x14">
            <control shapeId="10376" r:id="rId49" name="Check Box 136">
              <controlPr defaultSize="0" autoFill="0" autoLine="0" autoPict="0">
                <anchor moveWithCells="1">
                  <from>
                    <xdr:col>2</xdr:col>
                    <xdr:colOff>330200</xdr:colOff>
                    <xdr:row>51</xdr:row>
                    <xdr:rowOff>25400</xdr:rowOff>
                  </from>
                  <to>
                    <xdr:col>2</xdr:col>
                    <xdr:colOff>596900</xdr:colOff>
                    <xdr:row>51</xdr:row>
                    <xdr:rowOff>215900</xdr:rowOff>
                  </to>
                </anchor>
              </controlPr>
            </control>
          </mc:Choice>
        </mc:AlternateContent>
        <mc:AlternateContent xmlns:mc="http://schemas.openxmlformats.org/markup-compatibility/2006">
          <mc:Choice Requires="x14">
            <control shapeId="10377" r:id="rId50" name="Check Box 137">
              <controlPr defaultSize="0" autoFill="0" autoLine="0" autoPict="0">
                <anchor moveWithCells="1">
                  <from>
                    <xdr:col>2</xdr:col>
                    <xdr:colOff>330200</xdr:colOff>
                    <xdr:row>52</xdr:row>
                    <xdr:rowOff>25400</xdr:rowOff>
                  </from>
                  <to>
                    <xdr:col>2</xdr:col>
                    <xdr:colOff>596900</xdr:colOff>
                    <xdr:row>52</xdr:row>
                    <xdr:rowOff>215900</xdr:rowOff>
                  </to>
                </anchor>
              </controlPr>
            </control>
          </mc:Choice>
        </mc:AlternateContent>
        <mc:AlternateContent xmlns:mc="http://schemas.openxmlformats.org/markup-compatibility/2006">
          <mc:Choice Requires="x14">
            <control shapeId="10378" r:id="rId51" name="Check Box 138">
              <controlPr defaultSize="0" autoFill="0" autoLine="0" autoPict="0">
                <anchor moveWithCells="1">
                  <from>
                    <xdr:col>2</xdr:col>
                    <xdr:colOff>330200</xdr:colOff>
                    <xdr:row>53</xdr:row>
                    <xdr:rowOff>25400</xdr:rowOff>
                  </from>
                  <to>
                    <xdr:col>2</xdr:col>
                    <xdr:colOff>596900</xdr:colOff>
                    <xdr:row>53</xdr:row>
                    <xdr:rowOff>215900</xdr:rowOff>
                  </to>
                </anchor>
              </controlPr>
            </control>
          </mc:Choice>
        </mc:AlternateContent>
        <mc:AlternateContent xmlns:mc="http://schemas.openxmlformats.org/markup-compatibility/2006">
          <mc:Choice Requires="x14">
            <control shapeId="10379" r:id="rId52" name="Check Box 139">
              <controlPr defaultSize="0" autoFill="0" autoLine="0" autoPict="0">
                <anchor moveWithCells="1">
                  <from>
                    <xdr:col>2</xdr:col>
                    <xdr:colOff>330200</xdr:colOff>
                    <xdr:row>54</xdr:row>
                    <xdr:rowOff>25400</xdr:rowOff>
                  </from>
                  <to>
                    <xdr:col>2</xdr:col>
                    <xdr:colOff>596900</xdr:colOff>
                    <xdr:row>54</xdr:row>
                    <xdr:rowOff>215900</xdr:rowOff>
                  </to>
                </anchor>
              </controlPr>
            </control>
          </mc:Choice>
        </mc:AlternateContent>
        <mc:AlternateContent xmlns:mc="http://schemas.openxmlformats.org/markup-compatibility/2006">
          <mc:Choice Requires="x14">
            <control shapeId="10380" r:id="rId53" name="Check Box 140">
              <controlPr defaultSize="0" autoFill="0" autoLine="0" autoPict="0">
                <anchor moveWithCells="1">
                  <from>
                    <xdr:col>2</xdr:col>
                    <xdr:colOff>330200</xdr:colOff>
                    <xdr:row>55</xdr:row>
                    <xdr:rowOff>25400</xdr:rowOff>
                  </from>
                  <to>
                    <xdr:col>2</xdr:col>
                    <xdr:colOff>596900</xdr:colOff>
                    <xdr:row>55</xdr:row>
                    <xdr:rowOff>215900</xdr:rowOff>
                  </to>
                </anchor>
              </controlPr>
            </control>
          </mc:Choice>
        </mc:AlternateContent>
        <mc:AlternateContent xmlns:mc="http://schemas.openxmlformats.org/markup-compatibility/2006">
          <mc:Choice Requires="x14">
            <control shapeId="10381" r:id="rId54" name="Check Box 141">
              <controlPr defaultSize="0" autoFill="0" autoLine="0" autoPict="0">
                <anchor moveWithCells="1">
                  <from>
                    <xdr:col>2</xdr:col>
                    <xdr:colOff>330200</xdr:colOff>
                    <xdr:row>56</xdr:row>
                    <xdr:rowOff>25400</xdr:rowOff>
                  </from>
                  <to>
                    <xdr:col>2</xdr:col>
                    <xdr:colOff>596900</xdr:colOff>
                    <xdr:row>56</xdr:row>
                    <xdr:rowOff>215900</xdr:rowOff>
                  </to>
                </anchor>
              </controlPr>
            </control>
          </mc:Choice>
        </mc:AlternateContent>
        <mc:AlternateContent xmlns:mc="http://schemas.openxmlformats.org/markup-compatibility/2006">
          <mc:Choice Requires="x14">
            <control shapeId="10382" r:id="rId55" name="Check Box 142">
              <controlPr defaultSize="0" autoFill="0" autoLine="0" autoPict="0">
                <anchor moveWithCells="1">
                  <from>
                    <xdr:col>2</xdr:col>
                    <xdr:colOff>330200</xdr:colOff>
                    <xdr:row>57</xdr:row>
                    <xdr:rowOff>25400</xdr:rowOff>
                  </from>
                  <to>
                    <xdr:col>2</xdr:col>
                    <xdr:colOff>596900</xdr:colOff>
                    <xdr:row>57</xdr:row>
                    <xdr:rowOff>215900</xdr:rowOff>
                  </to>
                </anchor>
              </controlPr>
            </control>
          </mc:Choice>
        </mc:AlternateContent>
        <mc:AlternateContent xmlns:mc="http://schemas.openxmlformats.org/markup-compatibility/2006">
          <mc:Choice Requires="x14">
            <control shapeId="10383" r:id="rId56" name="Check Box 143">
              <controlPr defaultSize="0" autoFill="0" autoLine="0" autoPict="0">
                <anchor moveWithCells="1">
                  <from>
                    <xdr:col>2</xdr:col>
                    <xdr:colOff>330200</xdr:colOff>
                    <xdr:row>58</xdr:row>
                    <xdr:rowOff>25400</xdr:rowOff>
                  </from>
                  <to>
                    <xdr:col>2</xdr:col>
                    <xdr:colOff>596900</xdr:colOff>
                    <xdr:row>58</xdr:row>
                    <xdr:rowOff>215900</xdr:rowOff>
                  </to>
                </anchor>
              </controlPr>
            </control>
          </mc:Choice>
        </mc:AlternateContent>
        <mc:AlternateContent xmlns:mc="http://schemas.openxmlformats.org/markup-compatibility/2006">
          <mc:Choice Requires="x14">
            <control shapeId="10384" r:id="rId57" name="Check Box 144">
              <controlPr defaultSize="0" autoFill="0" autoLine="0" autoPict="0">
                <anchor moveWithCells="1">
                  <from>
                    <xdr:col>2</xdr:col>
                    <xdr:colOff>330200</xdr:colOff>
                    <xdr:row>59</xdr:row>
                    <xdr:rowOff>25400</xdr:rowOff>
                  </from>
                  <to>
                    <xdr:col>2</xdr:col>
                    <xdr:colOff>596900</xdr:colOff>
                    <xdr:row>59</xdr:row>
                    <xdr:rowOff>215900</xdr:rowOff>
                  </to>
                </anchor>
              </controlPr>
            </control>
          </mc:Choice>
        </mc:AlternateContent>
        <mc:AlternateContent xmlns:mc="http://schemas.openxmlformats.org/markup-compatibility/2006">
          <mc:Choice Requires="x14">
            <control shapeId="10385" r:id="rId58" name="Check Box 145">
              <controlPr defaultSize="0" autoFill="0" autoLine="0" autoPict="0">
                <anchor moveWithCells="1">
                  <from>
                    <xdr:col>2</xdr:col>
                    <xdr:colOff>330200</xdr:colOff>
                    <xdr:row>60</xdr:row>
                    <xdr:rowOff>25400</xdr:rowOff>
                  </from>
                  <to>
                    <xdr:col>2</xdr:col>
                    <xdr:colOff>596900</xdr:colOff>
                    <xdr:row>60</xdr:row>
                    <xdr:rowOff>215900</xdr:rowOff>
                  </to>
                </anchor>
              </controlPr>
            </control>
          </mc:Choice>
        </mc:AlternateContent>
        <mc:AlternateContent xmlns:mc="http://schemas.openxmlformats.org/markup-compatibility/2006">
          <mc:Choice Requires="x14">
            <control shapeId="10386" r:id="rId59" name="Check Box 146">
              <controlPr defaultSize="0" autoFill="0" autoLine="0" autoPict="0">
                <anchor moveWithCells="1">
                  <from>
                    <xdr:col>2</xdr:col>
                    <xdr:colOff>330200</xdr:colOff>
                    <xdr:row>61</xdr:row>
                    <xdr:rowOff>25400</xdr:rowOff>
                  </from>
                  <to>
                    <xdr:col>2</xdr:col>
                    <xdr:colOff>596900</xdr:colOff>
                    <xdr:row>61</xdr:row>
                    <xdr:rowOff>215900</xdr:rowOff>
                  </to>
                </anchor>
              </controlPr>
            </control>
          </mc:Choice>
        </mc:AlternateContent>
        <mc:AlternateContent xmlns:mc="http://schemas.openxmlformats.org/markup-compatibility/2006">
          <mc:Choice Requires="x14">
            <control shapeId="10387" r:id="rId60" name="Check Box 147">
              <controlPr defaultSize="0" autoFill="0" autoLine="0" autoPict="0">
                <anchor moveWithCells="1">
                  <from>
                    <xdr:col>2</xdr:col>
                    <xdr:colOff>330200</xdr:colOff>
                    <xdr:row>62</xdr:row>
                    <xdr:rowOff>25400</xdr:rowOff>
                  </from>
                  <to>
                    <xdr:col>2</xdr:col>
                    <xdr:colOff>596900</xdr:colOff>
                    <xdr:row>62</xdr:row>
                    <xdr:rowOff>215900</xdr:rowOff>
                  </to>
                </anchor>
              </controlPr>
            </control>
          </mc:Choice>
        </mc:AlternateContent>
        <mc:AlternateContent xmlns:mc="http://schemas.openxmlformats.org/markup-compatibility/2006">
          <mc:Choice Requires="x14">
            <control shapeId="10388" r:id="rId61" name="Check Box 148">
              <controlPr defaultSize="0" autoFill="0" autoLine="0" autoPict="0">
                <anchor moveWithCells="1">
                  <from>
                    <xdr:col>2</xdr:col>
                    <xdr:colOff>330200</xdr:colOff>
                    <xdr:row>63</xdr:row>
                    <xdr:rowOff>25400</xdr:rowOff>
                  </from>
                  <to>
                    <xdr:col>2</xdr:col>
                    <xdr:colOff>596900</xdr:colOff>
                    <xdr:row>63</xdr:row>
                    <xdr:rowOff>215900</xdr:rowOff>
                  </to>
                </anchor>
              </controlPr>
            </control>
          </mc:Choice>
        </mc:AlternateContent>
        <mc:AlternateContent xmlns:mc="http://schemas.openxmlformats.org/markup-compatibility/2006">
          <mc:Choice Requires="x14">
            <control shapeId="10389" r:id="rId62" name="Check Box 149">
              <controlPr defaultSize="0" autoFill="0" autoLine="0" autoPict="0">
                <anchor moveWithCells="1">
                  <from>
                    <xdr:col>2</xdr:col>
                    <xdr:colOff>330200</xdr:colOff>
                    <xdr:row>64</xdr:row>
                    <xdr:rowOff>25400</xdr:rowOff>
                  </from>
                  <to>
                    <xdr:col>2</xdr:col>
                    <xdr:colOff>596900</xdr:colOff>
                    <xdr:row>64</xdr:row>
                    <xdr:rowOff>215900</xdr:rowOff>
                  </to>
                </anchor>
              </controlPr>
            </control>
          </mc:Choice>
        </mc:AlternateContent>
        <mc:AlternateContent xmlns:mc="http://schemas.openxmlformats.org/markup-compatibility/2006">
          <mc:Choice Requires="x14">
            <control shapeId="10390" r:id="rId63" name="Check Box 150">
              <controlPr defaultSize="0" autoFill="0" autoLine="0" autoPict="0">
                <anchor moveWithCells="1">
                  <from>
                    <xdr:col>2</xdr:col>
                    <xdr:colOff>330200</xdr:colOff>
                    <xdr:row>65</xdr:row>
                    <xdr:rowOff>25400</xdr:rowOff>
                  </from>
                  <to>
                    <xdr:col>2</xdr:col>
                    <xdr:colOff>596900</xdr:colOff>
                    <xdr:row>65</xdr:row>
                    <xdr:rowOff>215900</xdr:rowOff>
                  </to>
                </anchor>
              </controlPr>
            </control>
          </mc:Choice>
        </mc:AlternateContent>
        <mc:AlternateContent xmlns:mc="http://schemas.openxmlformats.org/markup-compatibility/2006">
          <mc:Choice Requires="x14">
            <control shapeId="10391" r:id="rId64" name="Check Box 151">
              <controlPr defaultSize="0" autoFill="0" autoLine="0" autoPict="0">
                <anchor moveWithCells="1">
                  <from>
                    <xdr:col>2</xdr:col>
                    <xdr:colOff>330200</xdr:colOff>
                    <xdr:row>66</xdr:row>
                    <xdr:rowOff>25400</xdr:rowOff>
                  </from>
                  <to>
                    <xdr:col>2</xdr:col>
                    <xdr:colOff>596900</xdr:colOff>
                    <xdr:row>66</xdr:row>
                    <xdr:rowOff>215900</xdr:rowOff>
                  </to>
                </anchor>
              </controlPr>
            </control>
          </mc:Choice>
        </mc:AlternateContent>
        <mc:AlternateContent xmlns:mc="http://schemas.openxmlformats.org/markup-compatibility/2006">
          <mc:Choice Requires="x14">
            <control shapeId="10392" r:id="rId65" name="Check Box 152">
              <controlPr defaultSize="0" autoFill="0" autoLine="0" autoPict="0">
                <anchor moveWithCells="1">
                  <from>
                    <xdr:col>2</xdr:col>
                    <xdr:colOff>330200</xdr:colOff>
                    <xdr:row>67</xdr:row>
                    <xdr:rowOff>25400</xdr:rowOff>
                  </from>
                  <to>
                    <xdr:col>2</xdr:col>
                    <xdr:colOff>596900</xdr:colOff>
                    <xdr:row>67</xdr:row>
                    <xdr:rowOff>215900</xdr:rowOff>
                  </to>
                </anchor>
              </controlPr>
            </control>
          </mc:Choice>
        </mc:AlternateContent>
        <mc:AlternateContent xmlns:mc="http://schemas.openxmlformats.org/markup-compatibility/2006">
          <mc:Choice Requires="x14">
            <control shapeId="10393" r:id="rId66" name="Check Box 153">
              <controlPr defaultSize="0" autoFill="0" autoLine="0" autoPict="0">
                <anchor moveWithCells="1">
                  <from>
                    <xdr:col>2</xdr:col>
                    <xdr:colOff>330200</xdr:colOff>
                    <xdr:row>68</xdr:row>
                    <xdr:rowOff>25400</xdr:rowOff>
                  </from>
                  <to>
                    <xdr:col>2</xdr:col>
                    <xdr:colOff>596900</xdr:colOff>
                    <xdr:row>68</xdr:row>
                    <xdr:rowOff>215900</xdr:rowOff>
                  </to>
                </anchor>
              </controlPr>
            </control>
          </mc:Choice>
        </mc:AlternateContent>
        <mc:AlternateContent xmlns:mc="http://schemas.openxmlformats.org/markup-compatibility/2006">
          <mc:Choice Requires="x14">
            <control shapeId="10394" r:id="rId67" name="Check Box 154">
              <controlPr defaultSize="0" autoFill="0" autoLine="0" autoPict="0">
                <anchor moveWithCells="1">
                  <from>
                    <xdr:col>2</xdr:col>
                    <xdr:colOff>330200</xdr:colOff>
                    <xdr:row>69</xdr:row>
                    <xdr:rowOff>25400</xdr:rowOff>
                  </from>
                  <to>
                    <xdr:col>2</xdr:col>
                    <xdr:colOff>596900</xdr:colOff>
                    <xdr:row>69</xdr:row>
                    <xdr:rowOff>215900</xdr:rowOff>
                  </to>
                </anchor>
              </controlPr>
            </control>
          </mc:Choice>
        </mc:AlternateContent>
        <mc:AlternateContent xmlns:mc="http://schemas.openxmlformats.org/markup-compatibility/2006">
          <mc:Choice Requires="x14">
            <control shapeId="10395" r:id="rId68" name="Check Box 155">
              <controlPr defaultSize="0" autoFill="0" autoLine="0" autoPict="0">
                <anchor moveWithCells="1">
                  <from>
                    <xdr:col>2</xdr:col>
                    <xdr:colOff>330200</xdr:colOff>
                    <xdr:row>70</xdr:row>
                    <xdr:rowOff>25400</xdr:rowOff>
                  </from>
                  <to>
                    <xdr:col>2</xdr:col>
                    <xdr:colOff>596900</xdr:colOff>
                    <xdr:row>70</xdr:row>
                    <xdr:rowOff>215900</xdr:rowOff>
                  </to>
                </anchor>
              </controlPr>
            </control>
          </mc:Choice>
        </mc:AlternateContent>
        <mc:AlternateContent xmlns:mc="http://schemas.openxmlformats.org/markup-compatibility/2006">
          <mc:Choice Requires="x14">
            <control shapeId="10396" r:id="rId69" name="Check Box 156">
              <controlPr defaultSize="0" autoFill="0" autoLine="0" autoPict="0">
                <anchor moveWithCells="1">
                  <from>
                    <xdr:col>2</xdr:col>
                    <xdr:colOff>330200</xdr:colOff>
                    <xdr:row>71</xdr:row>
                    <xdr:rowOff>25400</xdr:rowOff>
                  </from>
                  <to>
                    <xdr:col>2</xdr:col>
                    <xdr:colOff>596900</xdr:colOff>
                    <xdr:row>71</xdr:row>
                    <xdr:rowOff>215900</xdr:rowOff>
                  </to>
                </anchor>
              </controlPr>
            </control>
          </mc:Choice>
        </mc:AlternateContent>
        <mc:AlternateContent xmlns:mc="http://schemas.openxmlformats.org/markup-compatibility/2006">
          <mc:Choice Requires="x14">
            <control shapeId="10397" r:id="rId70" name="Check Box 157">
              <controlPr defaultSize="0" autoFill="0" autoLine="0" autoPict="0">
                <anchor moveWithCells="1">
                  <from>
                    <xdr:col>2</xdr:col>
                    <xdr:colOff>330200</xdr:colOff>
                    <xdr:row>72</xdr:row>
                    <xdr:rowOff>25400</xdr:rowOff>
                  </from>
                  <to>
                    <xdr:col>2</xdr:col>
                    <xdr:colOff>596900</xdr:colOff>
                    <xdr:row>72</xdr:row>
                    <xdr:rowOff>215900</xdr:rowOff>
                  </to>
                </anchor>
              </controlPr>
            </control>
          </mc:Choice>
        </mc:AlternateContent>
        <mc:AlternateContent xmlns:mc="http://schemas.openxmlformats.org/markup-compatibility/2006">
          <mc:Choice Requires="x14">
            <control shapeId="10398" r:id="rId71" name="Check Box 158">
              <controlPr defaultSize="0" autoFill="0" autoLine="0" autoPict="0">
                <anchor moveWithCells="1">
                  <from>
                    <xdr:col>2</xdr:col>
                    <xdr:colOff>330200</xdr:colOff>
                    <xdr:row>73</xdr:row>
                    <xdr:rowOff>25400</xdr:rowOff>
                  </from>
                  <to>
                    <xdr:col>2</xdr:col>
                    <xdr:colOff>596900</xdr:colOff>
                    <xdr:row>73</xdr:row>
                    <xdr:rowOff>215900</xdr:rowOff>
                  </to>
                </anchor>
              </controlPr>
            </control>
          </mc:Choice>
        </mc:AlternateContent>
        <mc:AlternateContent xmlns:mc="http://schemas.openxmlformats.org/markup-compatibility/2006">
          <mc:Choice Requires="x14">
            <control shapeId="10399" r:id="rId72" name="Check Box 159">
              <controlPr defaultSize="0" autoFill="0" autoLine="0" autoPict="0">
                <anchor moveWithCells="1">
                  <from>
                    <xdr:col>2</xdr:col>
                    <xdr:colOff>330200</xdr:colOff>
                    <xdr:row>75</xdr:row>
                    <xdr:rowOff>25400</xdr:rowOff>
                  </from>
                  <to>
                    <xdr:col>2</xdr:col>
                    <xdr:colOff>596900</xdr:colOff>
                    <xdr:row>75</xdr:row>
                    <xdr:rowOff>215900</xdr:rowOff>
                  </to>
                </anchor>
              </controlPr>
            </control>
          </mc:Choice>
        </mc:AlternateContent>
        <mc:AlternateContent xmlns:mc="http://schemas.openxmlformats.org/markup-compatibility/2006">
          <mc:Choice Requires="x14">
            <control shapeId="10400" r:id="rId73" name="Check Box 160">
              <controlPr defaultSize="0" autoFill="0" autoLine="0" autoPict="0">
                <anchor moveWithCells="1">
                  <from>
                    <xdr:col>2</xdr:col>
                    <xdr:colOff>330200</xdr:colOff>
                    <xdr:row>77</xdr:row>
                    <xdr:rowOff>203200</xdr:rowOff>
                  </from>
                  <to>
                    <xdr:col>2</xdr:col>
                    <xdr:colOff>596900</xdr:colOff>
                    <xdr:row>77</xdr:row>
                    <xdr:rowOff>393700</xdr:rowOff>
                  </to>
                </anchor>
              </controlPr>
            </control>
          </mc:Choice>
        </mc:AlternateContent>
        <mc:AlternateContent xmlns:mc="http://schemas.openxmlformats.org/markup-compatibility/2006">
          <mc:Choice Requires="x14">
            <control shapeId="10410" r:id="rId74" name="Check Box 170">
              <controlPr defaultSize="0" autoFill="0" autoLine="0" autoPict="0">
                <anchor moveWithCells="1">
                  <from>
                    <xdr:col>2</xdr:col>
                    <xdr:colOff>330200</xdr:colOff>
                    <xdr:row>78</xdr:row>
                    <xdr:rowOff>25400</xdr:rowOff>
                  </from>
                  <to>
                    <xdr:col>2</xdr:col>
                    <xdr:colOff>596900</xdr:colOff>
                    <xdr:row>78</xdr:row>
                    <xdr:rowOff>215900</xdr:rowOff>
                  </to>
                </anchor>
              </controlPr>
            </control>
          </mc:Choice>
        </mc:AlternateContent>
        <mc:AlternateContent xmlns:mc="http://schemas.openxmlformats.org/markup-compatibility/2006">
          <mc:Choice Requires="x14">
            <control shapeId="10411" r:id="rId75" name="Check Box 171">
              <controlPr defaultSize="0" autoFill="0" autoLine="0" autoPict="0">
                <anchor moveWithCells="1">
                  <from>
                    <xdr:col>2</xdr:col>
                    <xdr:colOff>330200</xdr:colOff>
                    <xdr:row>79</xdr:row>
                    <xdr:rowOff>25400</xdr:rowOff>
                  </from>
                  <to>
                    <xdr:col>2</xdr:col>
                    <xdr:colOff>596900</xdr:colOff>
                    <xdr:row>79</xdr:row>
                    <xdr:rowOff>215900</xdr:rowOff>
                  </to>
                </anchor>
              </controlPr>
            </control>
          </mc:Choice>
        </mc:AlternateContent>
        <mc:AlternateContent xmlns:mc="http://schemas.openxmlformats.org/markup-compatibility/2006">
          <mc:Choice Requires="x14">
            <control shapeId="10412" r:id="rId76" name="Check Box 172">
              <controlPr defaultSize="0" autoFill="0" autoLine="0" autoPict="0">
                <anchor moveWithCells="1">
                  <from>
                    <xdr:col>2</xdr:col>
                    <xdr:colOff>330200</xdr:colOff>
                    <xdr:row>80</xdr:row>
                    <xdr:rowOff>25400</xdr:rowOff>
                  </from>
                  <to>
                    <xdr:col>2</xdr:col>
                    <xdr:colOff>596900</xdr:colOff>
                    <xdr:row>80</xdr:row>
                    <xdr:rowOff>215900</xdr:rowOff>
                  </to>
                </anchor>
              </controlPr>
            </control>
          </mc:Choice>
        </mc:AlternateContent>
        <mc:AlternateContent xmlns:mc="http://schemas.openxmlformats.org/markup-compatibility/2006">
          <mc:Choice Requires="x14">
            <control shapeId="10413" r:id="rId77" name="Check Box 173">
              <controlPr defaultSize="0" autoFill="0" autoLine="0" autoPict="0">
                <anchor moveWithCells="1">
                  <from>
                    <xdr:col>2</xdr:col>
                    <xdr:colOff>330200</xdr:colOff>
                    <xdr:row>81</xdr:row>
                    <xdr:rowOff>25400</xdr:rowOff>
                  </from>
                  <to>
                    <xdr:col>2</xdr:col>
                    <xdr:colOff>596900</xdr:colOff>
                    <xdr:row>81</xdr:row>
                    <xdr:rowOff>215900</xdr:rowOff>
                  </to>
                </anchor>
              </controlPr>
            </control>
          </mc:Choice>
        </mc:AlternateContent>
        <mc:AlternateContent xmlns:mc="http://schemas.openxmlformats.org/markup-compatibility/2006">
          <mc:Choice Requires="x14">
            <control shapeId="10414" r:id="rId78" name="Check Box 174">
              <controlPr defaultSize="0" autoFill="0" autoLine="0" autoPict="0">
                <anchor moveWithCells="1">
                  <from>
                    <xdr:col>2</xdr:col>
                    <xdr:colOff>330200</xdr:colOff>
                    <xdr:row>82</xdr:row>
                    <xdr:rowOff>25400</xdr:rowOff>
                  </from>
                  <to>
                    <xdr:col>2</xdr:col>
                    <xdr:colOff>596900</xdr:colOff>
                    <xdr:row>82</xdr:row>
                    <xdr:rowOff>215900</xdr:rowOff>
                  </to>
                </anchor>
              </controlPr>
            </control>
          </mc:Choice>
        </mc:AlternateContent>
        <mc:AlternateContent xmlns:mc="http://schemas.openxmlformats.org/markup-compatibility/2006">
          <mc:Choice Requires="x14">
            <control shapeId="10415" r:id="rId79" name="Check Box 175">
              <controlPr defaultSize="0" autoFill="0" autoLine="0" autoPict="0">
                <anchor moveWithCells="1">
                  <from>
                    <xdr:col>2</xdr:col>
                    <xdr:colOff>330200</xdr:colOff>
                    <xdr:row>83</xdr:row>
                    <xdr:rowOff>25400</xdr:rowOff>
                  </from>
                  <to>
                    <xdr:col>2</xdr:col>
                    <xdr:colOff>596900</xdr:colOff>
                    <xdr:row>83</xdr:row>
                    <xdr:rowOff>215900</xdr:rowOff>
                  </to>
                </anchor>
              </controlPr>
            </control>
          </mc:Choice>
        </mc:AlternateContent>
        <mc:AlternateContent xmlns:mc="http://schemas.openxmlformats.org/markup-compatibility/2006">
          <mc:Choice Requires="x14">
            <control shapeId="10416" r:id="rId80" name="Check Box 176">
              <controlPr defaultSize="0" autoFill="0" autoLine="0" autoPict="0">
                <anchor moveWithCells="1">
                  <from>
                    <xdr:col>2</xdr:col>
                    <xdr:colOff>330200</xdr:colOff>
                    <xdr:row>84</xdr:row>
                    <xdr:rowOff>25400</xdr:rowOff>
                  </from>
                  <to>
                    <xdr:col>2</xdr:col>
                    <xdr:colOff>596900</xdr:colOff>
                    <xdr:row>84</xdr:row>
                    <xdr:rowOff>215900</xdr:rowOff>
                  </to>
                </anchor>
              </controlPr>
            </control>
          </mc:Choice>
        </mc:AlternateContent>
        <mc:AlternateContent xmlns:mc="http://schemas.openxmlformats.org/markup-compatibility/2006">
          <mc:Choice Requires="x14">
            <control shapeId="10417" r:id="rId81" name="Check Box 177">
              <controlPr defaultSize="0" autoFill="0" autoLine="0" autoPict="0">
                <anchor moveWithCells="1">
                  <from>
                    <xdr:col>2</xdr:col>
                    <xdr:colOff>330200</xdr:colOff>
                    <xdr:row>85</xdr:row>
                    <xdr:rowOff>25400</xdr:rowOff>
                  </from>
                  <to>
                    <xdr:col>2</xdr:col>
                    <xdr:colOff>596900</xdr:colOff>
                    <xdr:row>85</xdr:row>
                    <xdr:rowOff>215900</xdr:rowOff>
                  </to>
                </anchor>
              </controlPr>
            </control>
          </mc:Choice>
        </mc:AlternateContent>
        <mc:AlternateContent xmlns:mc="http://schemas.openxmlformats.org/markup-compatibility/2006">
          <mc:Choice Requires="x14">
            <control shapeId="10418" r:id="rId82" name="Check Box 178">
              <controlPr defaultSize="0" autoFill="0" autoLine="0" autoPict="0">
                <anchor moveWithCells="1">
                  <from>
                    <xdr:col>2</xdr:col>
                    <xdr:colOff>330200</xdr:colOff>
                    <xdr:row>86</xdr:row>
                    <xdr:rowOff>25400</xdr:rowOff>
                  </from>
                  <to>
                    <xdr:col>2</xdr:col>
                    <xdr:colOff>596900</xdr:colOff>
                    <xdr:row>86</xdr:row>
                    <xdr:rowOff>215900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E88A6-CDB9-4246-9198-511AA7A6F644}">
  <sheetPr codeName="Sheet6"/>
  <dimension ref="A1:E23"/>
  <sheetViews>
    <sheetView zoomScale="62" zoomScaleNormal="75" workbookViewId="0">
      <selection activeCell="A21" sqref="A21"/>
    </sheetView>
  </sheetViews>
  <sheetFormatPr baseColWidth="10" defaultRowHeight="18" x14ac:dyDescent="0.2"/>
  <cols>
    <col min="1" max="1" width="14.33203125" style="1" bestFit="1" customWidth="1"/>
    <col min="2" max="2" width="255.83203125" style="1" customWidth="1"/>
    <col min="3" max="3" width="12.1640625" style="1" bestFit="1" customWidth="1"/>
    <col min="4" max="4" width="8.83203125" style="1" hidden="1" customWidth="1"/>
    <col min="5" max="16384" width="10.83203125" style="1"/>
  </cols>
  <sheetData>
    <row r="1" spans="1:5" ht="23" x14ac:dyDescent="0.25">
      <c r="A1" s="122" t="s">
        <v>68</v>
      </c>
      <c r="B1" s="123"/>
      <c r="C1" s="124"/>
      <c r="E1" s="1" t="s">
        <v>197</v>
      </c>
    </row>
    <row r="2" spans="1:5" x14ac:dyDescent="0.2">
      <c r="A2" s="125" t="s">
        <v>9</v>
      </c>
      <c r="B2" s="125"/>
      <c r="C2" s="125"/>
    </row>
    <row r="3" spans="1:5" x14ac:dyDescent="0.2">
      <c r="A3" s="125" t="s">
        <v>10</v>
      </c>
      <c r="B3" s="125"/>
      <c r="C3" s="125"/>
    </row>
    <row r="4" spans="1:5" ht="38" x14ac:dyDescent="0.2">
      <c r="A4" s="36" t="s">
        <v>375</v>
      </c>
      <c r="B4" s="12" t="s">
        <v>374</v>
      </c>
      <c r="C4" s="48"/>
      <c r="D4" s="1" t="b">
        <v>0</v>
      </c>
      <c r="E4" s="1">
        <v>71</v>
      </c>
    </row>
    <row r="5" spans="1:5" x14ac:dyDescent="0.2">
      <c r="A5" s="2" t="s">
        <v>583</v>
      </c>
      <c r="B5" s="9" t="s">
        <v>582</v>
      </c>
      <c r="C5" s="48"/>
      <c r="D5" s="1" t="b">
        <v>0</v>
      </c>
      <c r="E5" s="1">
        <v>67.3</v>
      </c>
    </row>
    <row r="6" spans="1:5" x14ac:dyDescent="0.2">
      <c r="A6" s="125" t="s">
        <v>8</v>
      </c>
      <c r="B6" s="125"/>
      <c r="C6" s="125"/>
    </row>
    <row r="7" spans="1:5" x14ac:dyDescent="0.2">
      <c r="A7" s="2" t="s">
        <v>182</v>
      </c>
      <c r="B7" s="2" t="s">
        <v>183</v>
      </c>
      <c r="C7" s="29"/>
      <c r="D7" s="1" t="b">
        <v>0</v>
      </c>
      <c r="E7" s="1">
        <v>70.2</v>
      </c>
    </row>
    <row r="8" spans="1:5" x14ac:dyDescent="0.2">
      <c r="A8" s="4" t="s">
        <v>278</v>
      </c>
      <c r="B8" s="2" t="s">
        <v>277</v>
      </c>
      <c r="C8" s="29"/>
      <c r="D8" s="1" t="b">
        <v>0</v>
      </c>
      <c r="E8" s="1">
        <v>52.6</v>
      </c>
    </row>
    <row r="9" spans="1:5" ht="38" x14ac:dyDescent="0.2">
      <c r="A9" s="40">
        <v>2014.1079999999999</v>
      </c>
      <c r="B9" s="23" t="s">
        <v>512</v>
      </c>
      <c r="C9" s="29"/>
      <c r="D9" s="1" t="b">
        <v>0</v>
      </c>
      <c r="E9" s="1">
        <v>71.2</v>
      </c>
    </row>
    <row r="10" spans="1:5" x14ac:dyDescent="0.2">
      <c r="A10" s="2" t="s">
        <v>638</v>
      </c>
      <c r="B10" s="2" t="s">
        <v>637</v>
      </c>
      <c r="C10" s="29"/>
      <c r="D10" s="1" t="b">
        <v>0</v>
      </c>
      <c r="E10" s="1">
        <v>64.8</v>
      </c>
    </row>
    <row r="11" spans="1:5" x14ac:dyDescent="0.2">
      <c r="A11" s="125" t="s">
        <v>11</v>
      </c>
      <c r="B11" s="125"/>
      <c r="C11" s="125"/>
    </row>
    <row r="12" spans="1:5" x14ac:dyDescent="0.2">
      <c r="A12" s="39" t="s">
        <v>234</v>
      </c>
      <c r="B12" s="8" t="s">
        <v>235</v>
      </c>
      <c r="C12" s="43"/>
      <c r="D12" s="1" t="b">
        <v>0</v>
      </c>
      <c r="E12" s="1">
        <v>46.8</v>
      </c>
    </row>
    <row r="13" spans="1:5" x14ac:dyDescent="0.2">
      <c r="A13" s="39" t="s">
        <v>327</v>
      </c>
      <c r="B13" s="9" t="s">
        <v>326</v>
      </c>
      <c r="C13" s="43"/>
      <c r="D13" s="1" t="b">
        <v>0</v>
      </c>
      <c r="E13" s="1">
        <v>64.3</v>
      </c>
    </row>
    <row r="14" spans="1:5" ht="38" x14ac:dyDescent="0.2">
      <c r="A14" s="39" t="s">
        <v>405</v>
      </c>
      <c r="B14" s="47" t="s">
        <v>404</v>
      </c>
      <c r="C14" s="43"/>
      <c r="D14" s="1" t="b">
        <v>0</v>
      </c>
      <c r="E14" s="1">
        <v>75.400000000000006</v>
      </c>
    </row>
    <row r="15" spans="1:5" x14ac:dyDescent="0.2">
      <c r="A15" s="39" t="s">
        <v>434</v>
      </c>
      <c r="B15" s="9" t="s">
        <v>435</v>
      </c>
      <c r="C15" s="43"/>
      <c r="D15" s="1" t="b">
        <v>0</v>
      </c>
      <c r="E15" s="1">
        <v>66.3</v>
      </c>
    </row>
    <row r="16" spans="1:5" ht="38" x14ac:dyDescent="0.2">
      <c r="A16" s="39" t="s">
        <v>497</v>
      </c>
      <c r="B16" s="47" t="s">
        <v>496</v>
      </c>
      <c r="C16" s="43"/>
      <c r="D16" s="1" t="b">
        <v>0</v>
      </c>
      <c r="E16" s="1">
        <v>69.3</v>
      </c>
    </row>
    <row r="17" spans="1:5" x14ac:dyDescent="0.2">
      <c r="A17" s="39" t="s">
        <v>536</v>
      </c>
      <c r="B17" s="50" t="s">
        <v>535</v>
      </c>
      <c r="C17" s="43"/>
      <c r="D17" s="1" t="b">
        <v>0</v>
      </c>
      <c r="E17" s="1">
        <v>57.7</v>
      </c>
    </row>
    <row r="18" spans="1:5" x14ac:dyDescent="0.2">
      <c r="A18" s="39" t="s">
        <v>609</v>
      </c>
      <c r="B18" s="9" t="s">
        <v>608</v>
      </c>
      <c r="C18" s="43"/>
      <c r="D18" s="1" t="b">
        <v>0</v>
      </c>
      <c r="E18" s="1">
        <v>30.2</v>
      </c>
    </row>
    <row r="19" spans="1:5" ht="19" x14ac:dyDescent="0.2">
      <c r="A19" s="39" t="s">
        <v>668</v>
      </c>
      <c r="B19" s="47" t="s">
        <v>667</v>
      </c>
      <c r="C19" s="43"/>
      <c r="D19" s="1" t="b">
        <v>0</v>
      </c>
      <c r="E19" s="1">
        <v>73</v>
      </c>
    </row>
    <row r="21" spans="1:5" x14ac:dyDescent="0.2">
      <c r="A21" s="6" t="s">
        <v>762</v>
      </c>
      <c r="B21" s="7">
        <f>COUNTA(D3:D19)</f>
        <v>14</v>
      </c>
    </row>
    <row r="22" spans="1:5" x14ac:dyDescent="0.2">
      <c r="A22" s="6" t="s">
        <v>37</v>
      </c>
      <c r="B22" s="7">
        <f>COUNTIF(D3:D19, TRUE)</f>
        <v>0</v>
      </c>
    </row>
    <row r="23" spans="1:5" x14ac:dyDescent="0.2">
      <c r="A23" s="6" t="s">
        <v>38</v>
      </c>
      <c r="B23" s="11">
        <f>(B22/B21)*100</f>
        <v>0</v>
      </c>
    </row>
  </sheetData>
  <mergeCells count="5">
    <mergeCell ref="A1:C1"/>
    <mergeCell ref="A2:C2"/>
    <mergeCell ref="A3:C3"/>
    <mergeCell ref="A6:C6"/>
    <mergeCell ref="A11:C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22" r:id="rId3" name="Check Box 58">
              <controlPr defaultSize="0" autoFill="0" autoLine="0" autoPict="0">
                <anchor moveWithCells="1">
                  <from>
                    <xdr:col>2</xdr:col>
                    <xdr:colOff>355600</xdr:colOff>
                    <xdr:row>3</xdr:row>
                    <xdr:rowOff>139700</xdr:rowOff>
                  </from>
                  <to>
                    <xdr:col>2</xdr:col>
                    <xdr:colOff>571500</xdr:colOff>
                    <xdr:row>3</xdr:row>
                    <xdr:rowOff>330200</xdr:rowOff>
                  </to>
                </anchor>
              </controlPr>
            </control>
          </mc:Choice>
        </mc:AlternateContent>
        <mc:AlternateContent xmlns:mc="http://schemas.openxmlformats.org/markup-compatibility/2006">
          <mc:Choice Requires="x14">
            <control shapeId="11323" r:id="rId4" name="Check Box 59">
              <controlPr defaultSize="0" autoFill="0" autoLine="0" autoPict="0">
                <anchor moveWithCells="1">
                  <from>
                    <xdr:col>2</xdr:col>
                    <xdr:colOff>355600</xdr:colOff>
                    <xdr:row>4</xdr:row>
                    <xdr:rowOff>25400</xdr:rowOff>
                  </from>
                  <to>
                    <xdr:col>2</xdr:col>
                    <xdr:colOff>571500</xdr:colOff>
                    <xdr:row>4</xdr:row>
                    <xdr:rowOff>203200</xdr:rowOff>
                  </to>
                </anchor>
              </controlPr>
            </control>
          </mc:Choice>
        </mc:AlternateContent>
        <mc:AlternateContent xmlns:mc="http://schemas.openxmlformats.org/markup-compatibility/2006">
          <mc:Choice Requires="x14">
            <control shapeId="11324" r:id="rId5" name="Check Box 60">
              <controlPr defaultSize="0" autoFill="0" autoLine="0" autoPict="0">
                <anchor moveWithCells="1">
                  <from>
                    <xdr:col>2</xdr:col>
                    <xdr:colOff>355600</xdr:colOff>
                    <xdr:row>6</xdr:row>
                    <xdr:rowOff>25400</xdr:rowOff>
                  </from>
                  <to>
                    <xdr:col>2</xdr:col>
                    <xdr:colOff>571500</xdr:colOff>
                    <xdr:row>6</xdr:row>
                    <xdr:rowOff>203200</xdr:rowOff>
                  </to>
                </anchor>
              </controlPr>
            </control>
          </mc:Choice>
        </mc:AlternateContent>
        <mc:AlternateContent xmlns:mc="http://schemas.openxmlformats.org/markup-compatibility/2006">
          <mc:Choice Requires="x14">
            <control shapeId="11325" r:id="rId6" name="Check Box 61">
              <controlPr defaultSize="0" autoFill="0" autoLine="0" autoPict="0">
                <anchor moveWithCells="1">
                  <from>
                    <xdr:col>2</xdr:col>
                    <xdr:colOff>355600</xdr:colOff>
                    <xdr:row>7</xdr:row>
                    <xdr:rowOff>25400</xdr:rowOff>
                  </from>
                  <to>
                    <xdr:col>2</xdr:col>
                    <xdr:colOff>571500</xdr:colOff>
                    <xdr:row>7</xdr:row>
                    <xdr:rowOff>203200</xdr:rowOff>
                  </to>
                </anchor>
              </controlPr>
            </control>
          </mc:Choice>
        </mc:AlternateContent>
        <mc:AlternateContent xmlns:mc="http://schemas.openxmlformats.org/markup-compatibility/2006">
          <mc:Choice Requires="x14">
            <control shapeId="11326" r:id="rId7" name="Check Box 62">
              <controlPr defaultSize="0" autoFill="0" autoLine="0" autoPict="0">
                <anchor moveWithCells="1">
                  <from>
                    <xdr:col>2</xdr:col>
                    <xdr:colOff>355600</xdr:colOff>
                    <xdr:row>8</xdr:row>
                    <xdr:rowOff>25400</xdr:rowOff>
                  </from>
                  <to>
                    <xdr:col>2</xdr:col>
                    <xdr:colOff>571500</xdr:colOff>
                    <xdr:row>8</xdr:row>
                    <xdr:rowOff>203200</xdr:rowOff>
                  </to>
                </anchor>
              </controlPr>
            </control>
          </mc:Choice>
        </mc:AlternateContent>
        <mc:AlternateContent xmlns:mc="http://schemas.openxmlformats.org/markup-compatibility/2006">
          <mc:Choice Requires="x14">
            <control shapeId="11327" r:id="rId8" name="Check Box 63">
              <controlPr defaultSize="0" autoFill="0" autoLine="0" autoPict="0">
                <anchor moveWithCells="1">
                  <from>
                    <xdr:col>2</xdr:col>
                    <xdr:colOff>355600</xdr:colOff>
                    <xdr:row>9</xdr:row>
                    <xdr:rowOff>25400</xdr:rowOff>
                  </from>
                  <to>
                    <xdr:col>2</xdr:col>
                    <xdr:colOff>571500</xdr:colOff>
                    <xdr:row>9</xdr:row>
                    <xdr:rowOff>203200</xdr:rowOff>
                  </to>
                </anchor>
              </controlPr>
            </control>
          </mc:Choice>
        </mc:AlternateContent>
        <mc:AlternateContent xmlns:mc="http://schemas.openxmlformats.org/markup-compatibility/2006">
          <mc:Choice Requires="x14">
            <control shapeId="11328" r:id="rId9" name="Check Box 64">
              <controlPr defaultSize="0" autoFill="0" autoLine="0" autoPict="0">
                <anchor moveWithCells="1">
                  <from>
                    <xdr:col>2</xdr:col>
                    <xdr:colOff>355600</xdr:colOff>
                    <xdr:row>11</xdr:row>
                    <xdr:rowOff>25400</xdr:rowOff>
                  </from>
                  <to>
                    <xdr:col>2</xdr:col>
                    <xdr:colOff>571500</xdr:colOff>
                    <xdr:row>11</xdr:row>
                    <xdr:rowOff>203200</xdr:rowOff>
                  </to>
                </anchor>
              </controlPr>
            </control>
          </mc:Choice>
        </mc:AlternateContent>
        <mc:AlternateContent xmlns:mc="http://schemas.openxmlformats.org/markup-compatibility/2006">
          <mc:Choice Requires="x14">
            <control shapeId="11329" r:id="rId10" name="Check Box 65">
              <controlPr defaultSize="0" autoFill="0" autoLine="0" autoPict="0">
                <anchor moveWithCells="1">
                  <from>
                    <xdr:col>2</xdr:col>
                    <xdr:colOff>355600</xdr:colOff>
                    <xdr:row>12</xdr:row>
                    <xdr:rowOff>25400</xdr:rowOff>
                  </from>
                  <to>
                    <xdr:col>2</xdr:col>
                    <xdr:colOff>571500</xdr:colOff>
                    <xdr:row>12</xdr:row>
                    <xdr:rowOff>203200</xdr:rowOff>
                  </to>
                </anchor>
              </controlPr>
            </control>
          </mc:Choice>
        </mc:AlternateContent>
        <mc:AlternateContent xmlns:mc="http://schemas.openxmlformats.org/markup-compatibility/2006">
          <mc:Choice Requires="x14">
            <control shapeId="11330" r:id="rId11" name="Check Box 66">
              <controlPr defaultSize="0" autoFill="0" autoLine="0" autoPict="0">
                <anchor moveWithCells="1">
                  <from>
                    <xdr:col>2</xdr:col>
                    <xdr:colOff>355600</xdr:colOff>
                    <xdr:row>13</xdr:row>
                    <xdr:rowOff>25400</xdr:rowOff>
                  </from>
                  <to>
                    <xdr:col>2</xdr:col>
                    <xdr:colOff>571500</xdr:colOff>
                    <xdr:row>13</xdr:row>
                    <xdr:rowOff>203200</xdr:rowOff>
                  </to>
                </anchor>
              </controlPr>
            </control>
          </mc:Choice>
        </mc:AlternateContent>
        <mc:AlternateContent xmlns:mc="http://schemas.openxmlformats.org/markup-compatibility/2006">
          <mc:Choice Requires="x14">
            <control shapeId="11331" r:id="rId12" name="Check Box 67">
              <controlPr defaultSize="0" autoFill="0" autoLine="0" autoPict="0">
                <anchor moveWithCells="1">
                  <from>
                    <xdr:col>2</xdr:col>
                    <xdr:colOff>355600</xdr:colOff>
                    <xdr:row>14</xdr:row>
                    <xdr:rowOff>25400</xdr:rowOff>
                  </from>
                  <to>
                    <xdr:col>2</xdr:col>
                    <xdr:colOff>571500</xdr:colOff>
                    <xdr:row>14</xdr:row>
                    <xdr:rowOff>203200</xdr:rowOff>
                  </to>
                </anchor>
              </controlPr>
            </control>
          </mc:Choice>
        </mc:AlternateContent>
        <mc:AlternateContent xmlns:mc="http://schemas.openxmlformats.org/markup-compatibility/2006">
          <mc:Choice Requires="x14">
            <control shapeId="11332" r:id="rId13" name="Check Box 68">
              <controlPr defaultSize="0" autoFill="0" autoLine="0" autoPict="0">
                <anchor moveWithCells="1">
                  <from>
                    <xdr:col>2</xdr:col>
                    <xdr:colOff>355600</xdr:colOff>
                    <xdr:row>15</xdr:row>
                    <xdr:rowOff>25400</xdr:rowOff>
                  </from>
                  <to>
                    <xdr:col>2</xdr:col>
                    <xdr:colOff>571500</xdr:colOff>
                    <xdr:row>15</xdr:row>
                    <xdr:rowOff>203200</xdr:rowOff>
                  </to>
                </anchor>
              </controlPr>
            </control>
          </mc:Choice>
        </mc:AlternateContent>
        <mc:AlternateContent xmlns:mc="http://schemas.openxmlformats.org/markup-compatibility/2006">
          <mc:Choice Requires="x14">
            <control shapeId="11333" r:id="rId14" name="Check Box 69">
              <controlPr defaultSize="0" autoFill="0" autoLine="0" autoPict="0">
                <anchor moveWithCells="1">
                  <from>
                    <xdr:col>2</xdr:col>
                    <xdr:colOff>355600</xdr:colOff>
                    <xdr:row>16</xdr:row>
                    <xdr:rowOff>25400</xdr:rowOff>
                  </from>
                  <to>
                    <xdr:col>2</xdr:col>
                    <xdr:colOff>571500</xdr:colOff>
                    <xdr:row>16</xdr:row>
                    <xdr:rowOff>203200</xdr:rowOff>
                  </to>
                </anchor>
              </controlPr>
            </control>
          </mc:Choice>
        </mc:AlternateContent>
        <mc:AlternateContent xmlns:mc="http://schemas.openxmlformats.org/markup-compatibility/2006">
          <mc:Choice Requires="x14">
            <control shapeId="11334" r:id="rId15" name="Check Box 70">
              <controlPr defaultSize="0" autoFill="0" autoLine="0" autoPict="0">
                <anchor moveWithCells="1">
                  <from>
                    <xdr:col>2</xdr:col>
                    <xdr:colOff>355600</xdr:colOff>
                    <xdr:row>17</xdr:row>
                    <xdr:rowOff>25400</xdr:rowOff>
                  </from>
                  <to>
                    <xdr:col>2</xdr:col>
                    <xdr:colOff>571500</xdr:colOff>
                    <xdr:row>17</xdr:row>
                    <xdr:rowOff>203200</xdr:rowOff>
                  </to>
                </anchor>
              </controlPr>
            </control>
          </mc:Choice>
        </mc:AlternateContent>
        <mc:AlternateContent xmlns:mc="http://schemas.openxmlformats.org/markup-compatibility/2006">
          <mc:Choice Requires="x14">
            <control shapeId="11335" r:id="rId16" name="Check Box 71">
              <controlPr defaultSize="0" autoFill="0" autoLine="0" autoPict="0">
                <anchor moveWithCells="1">
                  <from>
                    <xdr:col>2</xdr:col>
                    <xdr:colOff>355600</xdr:colOff>
                    <xdr:row>18</xdr:row>
                    <xdr:rowOff>25400</xdr:rowOff>
                  </from>
                  <to>
                    <xdr:col>2</xdr:col>
                    <xdr:colOff>571500</xdr:colOff>
                    <xdr:row>18</xdr:row>
                    <xdr:rowOff>203200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1984-F840-7549-88A8-77E3FCB8CEB3}">
  <sheetPr codeName="Sheet7"/>
  <dimension ref="A1:E82"/>
  <sheetViews>
    <sheetView topLeftCell="A9" zoomScale="60" zoomScaleNormal="75" workbookViewId="0">
      <selection activeCell="A27" sqref="A27"/>
    </sheetView>
  </sheetViews>
  <sheetFormatPr baseColWidth="10" defaultRowHeight="18" x14ac:dyDescent="0.2"/>
  <cols>
    <col min="1" max="1" width="14" style="51" bestFit="1" customWidth="1"/>
    <col min="2" max="2" width="255.6640625" style="51" customWidth="1"/>
    <col min="3" max="3" width="12.1640625" style="51" bestFit="1" customWidth="1"/>
    <col min="4" max="4" width="10.5" style="51" hidden="1" customWidth="1"/>
    <col min="5" max="5" width="11" style="51" bestFit="1" customWidth="1"/>
    <col min="6" max="16384" width="10.83203125" style="51"/>
  </cols>
  <sheetData>
    <row r="1" spans="1:5" x14ac:dyDescent="0.2">
      <c r="A1" s="127" t="s">
        <v>69</v>
      </c>
      <c r="B1" s="127"/>
      <c r="C1" s="127"/>
      <c r="E1" s="51" t="s">
        <v>197</v>
      </c>
    </row>
    <row r="2" spans="1:5" x14ac:dyDescent="0.2">
      <c r="A2" s="112" t="s">
        <v>12</v>
      </c>
      <c r="B2" s="112"/>
      <c r="C2" s="112"/>
      <c r="D2" s="51" t="b">
        <v>0</v>
      </c>
    </row>
    <row r="3" spans="1:5" x14ac:dyDescent="0.2">
      <c r="A3" s="39" t="s">
        <v>359</v>
      </c>
      <c r="B3" s="39" t="s">
        <v>358</v>
      </c>
      <c r="C3" s="39"/>
      <c r="D3" s="51" t="b">
        <v>0</v>
      </c>
      <c r="E3" s="51">
        <v>83.6</v>
      </c>
    </row>
    <row r="4" spans="1:5" x14ac:dyDescent="0.2">
      <c r="A4" s="39" t="s">
        <v>419</v>
      </c>
      <c r="B4" s="39" t="s">
        <v>418</v>
      </c>
      <c r="C4" s="68"/>
      <c r="D4" s="51" t="b">
        <v>0</v>
      </c>
      <c r="E4" s="51">
        <v>82.6</v>
      </c>
    </row>
    <row r="5" spans="1:5" x14ac:dyDescent="0.2">
      <c r="A5" s="39" t="s">
        <v>475</v>
      </c>
      <c r="B5" s="41" t="s">
        <v>474</v>
      </c>
      <c r="C5" s="68"/>
      <c r="D5" s="51" t="b">
        <v>0</v>
      </c>
      <c r="E5" s="51">
        <v>31.9</v>
      </c>
    </row>
    <row r="6" spans="1:5" ht="19" x14ac:dyDescent="0.2">
      <c r="A6" s="39" t="s">
        <v>617</v>
      </c>
      <c r="B6" s="5" t="s">
        <v>616</v>
      </c>
      <c r="C6" s="68"/>
      <c r="D6" s="51" t="b">
        <v>0</v>
      </c>
      <c r="E6" s="51">
        <v>59.9</v>
      </c>
    </row>
    <row r="7" spans="1:5" x14ac:dyDescent="0.2">
      <c r="A7" s="39" t="s">
        <v>686</v>
      </c>
      <c r="B7" s="68" t="s">
        <v>685</v>
      </c>
      <c r="C7" s="68"/>
      <c r="D7" s="51" t="b">
        <v>0</v>
      </c>
      <c r="E7" s="51">
        <v>55</v>
      </c>
    </row>
    <row r="8" spans="1:5" x14ac:dyDescent="0.2">
      <c r="A8" s="39" t="s">
        <v>728</v>
      </c>
      <c r="B8" s="68" t="s">
        <v>727</v>
      </c>
      <c r="C8" s="68"/>
      <c r="E8" s="51">
        <v>75.5</v>
      </c>
    </row>
    <row r="9" spans="1:5" ht="398" x14ac:dyDescent="0.2">
      <c r="A9" s="39"/>
      <c r="B9" s="5" t="s">
        <v>759</v>
      </c>
      <c r="C9" s="68"/>
      <c r="D9" s="51" t="b">
        <v>0</v>
      </c>
      <c r="E9" s="51">
        <v>84.9</v>
      </c>
    </row>
    <row r="10" spans="1:5" x14ac:dyDescent="0.2">
      <c r="A10" s="126" t="s">
        <v>15</v>
      </c>
      <c r="B10" s="126"/>
      <c r="C10" s="126"/>
    </row>
    <row r="11" spans="1:5" ht="42" customHeight="1" x14ac:dyDescent="0.2">
      <c r="A11" s="39" t="s">
        <v>441</v>
      </c>
      <c r="B11" s="5" t="s">
        <v>440</v>
      </c>
      <c r="C11" s="39"/>
      <c r="D11" s="51" t="b">
        <v>0</v>
      </c>
      <c r="E11" s="51">
        <v>38.299999999999997</v>
      </c>
    </row>
    <row r="12" spans="1:5" x14ac:dyDescent="0.2">
      <c r="A12" s="126" t="s">
        <v>16</v>
      </c>
      <c r="B12" s="126"/>
      <c r="C12" s="126"/>
    </row>
    <row r="13" spans="1:5" x14ac:dyDescent="0.2">
      <c r="A13" s="126" t="s">
        <v>70</v>
      </c>
      <c r="B13" s="126"/>
      <c r="C13" s="126"/>
    </row>
    <row r="14" spans="1:5" x14ac:dyDescent="0.2">
      <c r="A14" s="126" t="s">
        <v>71</v>
      </c>
      <c r="B14" s="126"/>
      <c r="C14" s="126"/>
    </row>
    <row r="15" spans="1:5" ht="38" x14ac:dyDescent="0.2">
      <c r="A15" s="41" t="s">
        <v>491</v>
      </c>
      <c r="B15" s="5" t="s">
        <v>490</v>
      </c>
      <c r="C15" s="65"/>
      <c r="D15" s="51" t="b">
        <v>0</v>
      </c>
      <c r="E15" s="51">
        <v>55.4</v>
      </c>
    </row>
    <row r="16" spans="1:5" x14ac:dyDescent="0.2">
      <c r="A16" s="112" t="s">
        <v>13</v>
      </c>
      <c r="B16" s="112"/>
      <c r="C16" s="112"/>
    </row>
    <row r="17" spans="1:5" ht="19" x14ac:dyDescent="0.2">
      <c r="A17" s="39" t="s">
        <v>311</v>
      </c>
      <c r="B17" s="5" t="s">
        <v>310</v>
      </c>
      <c r="C17" s="39"/>
      <c r="D17" s="51" t="b">
        <v>0</v>
      </c>
      <c r="E17" s="51">
        <v>62.6</v>
      </c>
    </row>
    <row r="18" spans="1:5" ht="38" x14ac:dyDescent="0.2">
      <c r="A18" s="39" t="s">
        <v>605</v>
      </c>
      <c r="B18" s="5" t="s">
        <v>604</v>
      </c>
      <c r="C18" s="68"/>
      <c r="D18" s="51" t="b">
        <v>0</v>
      </c>
      <c r="E18" s="51">
        <v>63.8</v>
      </c>
    </row>
    <row r="19" spans="1:5" ht="19" x14ac:dyDescent="0.2">
      <c r="A19" s="39" t="s">
        <v>704</v>
      </c>
      <c r="B19" s="5" t="s">
        <v>703</v>
      </c>
      <c r="C19" s="68"/>
      <c r="D19" s="51" t="b">
        <v>0</v>
      </c>
      <c r="E19" s="51">
        <v>74.099999999999994</v>
      </c>
    </row>
    <row r="20" spans="1:5" x14ac:dyDescent="0.2">
      <c r="A20" s="39" t="s">
        <v>753</v>
      </c>
      <c r="B20" s="68" t="s">
        <v>752</v>
      </c>
      <c r="C20" s="68"/>
      <c r="D20" s="51" t="b">
        <v>0</v>
      </c>
      <c r="E20" s="51">
        <v>34.299999999999997</v>
      </c>
    </row>
    <row r="21" spans="1:5" x14ac:dyDescent="0.2">
      <c r="A21" s="112" t="s">
        <v>14</v>
      </c>
      <c r="B21" s="112"/>
      <c r="C21" s="112"/>
    </row>
    <row r="22" spans="1:5" ht="19" x14ac:dyDescent="0.2">
      <c r="A22" s="39" t="s">
        <v>243</v>
      </c>
      <c r="B22" s="5" t="s">
        <v>242</v>
      </c>
      <c r="C22" s="39"/>
      <c r="D22" s="51" t="b">
        <v>0</v>
      </c>
      <c r="E22" s="51">
        <v>63.1</v>
      </c>
    </row>
    <row r="23" spans="1:5" x14ac:dyDescent="0.2">
      <c r="A23" s="126" t="s">
        <v>17</v>
      </c>
      <c r="B23" s="126"/>
      <c r="C23" s="126"/>
    </row>
    <row r="24" spans="1:5" ht="19" x14ac:dyDescent="0.2">
      <c r="A24" s="39" t="s">
        <v>184</v>
      </c>
      <c r="B24" s="5" t="s">
        <v>185</v>
      </c>
      <c r="C24" s="39"/>
      <c r="D24" s="51" t="b">
        <v>0</v>
      </c>
      <c r="E24" s="51">
        <v>39.700000000000003</v>
      </c>
    </row>
    <row r="25" spans="1:5" ht="19" x14ac:dyDescent="0.2">
      <c r="A25" s="39" t="s">
        <v>669</v>
      </c>
      <c r="B25" s="5" t="s">
        <v>699</v>
      </c>
      <c r="C25" s="39"/>
      <c r="D25" s="51" t="b">
        <v>0</v>
      </c>
      <c r="E25" s="51">
        <v>35</v>
      </c>
    </row>
    <row r="27" spans="1:5" x14ac:dyDescent="0.2">
      <c r="A27" s="6" t="s">
        <v>762</v>
      </c>
      <c r="B27" s="6">
        <f>COUNTA(D2:D25)</f>
        <v>16</v>
      </c>
    </row>
    <row r="28" spans="1:5" x14ac:dyDescent="0.2">
      <c r="A28" s="6" t="s">
        <v>37</v>
      </c>
      <c r="B28" s="6">
        <f>COUNTIF(D3:D25, TRUE)</f>
        <v>0</v>
      </c>
    </row>
    <row r="29" spans="1:5" x14ac:dyDescent="0.2">
      <c r="A29" s="6" t="s">
        <v>38</v>
      </c>
      <c r="B29" s="52">
        <f>(B28/B27)*100</f>
        <v>0</v>
      </c>
    </row>
    <row r="82" ht="21" customHeight="1" x14ac:dyDescent="0.2"/>
  </sheetData>
  <mergeCells count="9">
    <mergeCell ref="A23:C23"/>
    <mergeCell ref="A1:C1"/>
    <mergeCell ref="A2:C2"/>
    <mergeCell ref="A16:C16"/>
    <mergeCell ref="A21:C21"/>
    <mergeCell ref="A10:C10"/>
    <mergeCell ref="A12:C12"/>
    <mergeCell ref="A13:C13"/>
    <mergeCell ref="A14:C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347" r:id="rId3" name="Check Box 59">
              <controlPr defaultSize="0" autoFill="0" autoLine="0" autoPict="0">
                <anchor moveWithCells="1">
                  <from>
                    <xdr:col>2</xdr:col>
                    <xdr:colOff>342900</xdr:colOff>
                    <xdr:row>1</xdr:row>
                    <xdr:rowOff>228600</xdr:rowOff>
                  </from>
                  <to>
                    <xdr:col>2</xdr:col>
                    <xdr:colOff>596900</xdr:colOff>
                    <xdr:row>2</xdr:row>
                    <xdr:rowOff>228600</xdr:rowOff>
                  </to>
                </anchor>
              </controlPr>
            </control>
          </mc:Choice>
        </mc:AlternateContent>
        <mc:AlternateContent xmlns:mc="http://schemas.openxmlformats.org/markup-compatibility/2006">
          <mc:Choice Requires="x14">
            <control shapeId="12348" r:id="rId4" name="Check Box 60">
              <controlPr defaultSize="0" autoFill="0" autoLine="0" autoPict="0">
                <anchor moveWithCells="1">
                  <from>
                    <xdr:col>2</xdr:col>
                    <xdr:colOff>342900</xdr:colOff>
                    <xdr:row>2</xdr:row>
                    <xdr:rowOff>228600</xdr:rowOff>
                  </from>
                  <to>
                    <xdr:col>2</xdr:col>
                    <xdr:colOff>596900</xdr:colOff>
                    <xdr:row>3</xdr:row>
                    <xdr:rowOff>228600</xdr:rowOff>
                  </to>
                </anchor>
              </controlPr>
            </control>
          </mc:Choice>
        </mc:AlternateContent>
        <mc:AlternateContent xmlns:mc="http://schemas.openxmlformats.org/markup-compatibility/2006">
          <mc:Choice Requires="x14">
            <control shapeId="12349" r:id="rId5" name="Check Box 61">
              <controlPr defaultSize="0" autoFill="0" autoLine="0" autoPict="0">
                <anchor moveWithCells="1">
                  <from>
                    <xdr:col>2</xdr:col>
                    <xdr:colOff>342900</xdr:colOff>
                    <xdr:row>3</xdr:row>
                    <xdr:rowOff>228600</xdr:rowOff>
                  </from>
                  <to>
                    <xdr:col>2</xdr:col>
                    <xdr:colOff>596900</xdr:colOff>
                    <xdr:row>4</xdr:row>
                    <xdr:rowOff>228600</xdr:rowOff>
                  </to>
                </anchor>
              </controlPr>
            </control>
          </mc:Choice>
        </mc:AlternateContent>
        <mc:AlternateContent xmlns:mc="http://schemas.openxmlformats.org/markup-compatibility/2006">
          <mc:Choice Requires="x14">
            <control shapeId="12350" r:id="rId6" name="Check Box 62">
              <controlPr defaultSize="0" autoFill="0" autoLine="0" autoPict="0">
                <anchor moveWithCells="1">
                  <from>
                    <xdr:col>2</xdr:col>
                    <xdr:colOff>342900</xdr:colOff>
                    <xdr:row>4</xdr:row>
                    <xdr:rowOff>228600</xdr:rowOff>
                  </from>
                  <to>
                    <xdr:col>2</xdr:col>
                    <xdr:colOff>596900</xdr:colOff>
                    <xdr:row>5</xdr:row>
                    <xdr:rowOff>228600</xdr:rowOff>
                  </to>
                </anchor>
              </controlPr>
            </control>
          </mc:Choice>
        </mc:AlternateContent>
        <mc:AlternateContent xmlns:mc="http://schemas.openxmlformats.org/markup-compatibility/2006">
          <mc:Choice Requires="x14">
            <control shapeId="12351" r:id="rId7" name="Check Box 63">
              <controlPr defaultSize="0" autoFill="0" autoLine="0" autoPict="0">
                <anchor moveWithCells="1">
                  <from>
                    <xdr:col>2</xdr:col>
                    <xdr:colOff>342900</xdr:colOff>
                    <xdr:row>4</xdr:row>
                    <xdr:rowOff>228600</xdr:rowOff>
                  </from>
                  <to>
                    <xdr:col>2</xdr:col>
                    <xdr:colOff>596900</xdr:colOff>
                    <xdr:row>5</xdr:row>
                    <xdr:rowOff>228600</xdr:rowOff>
                  </to>
                </anchor>
              </controlPr>
            </control>
          </mc:Choice>
        </mc:AlternateContent>
        <mc:AlternateContent xmlns:mc="http://schemas.openxmlformats.org/markup-compatibility/2006">
          <mc:Choice Requires="x14">
            <control shapeId="12352" r:id="rId8" name="Check Box 64">
              <controlPr defaultSize="0" autoFill="0" autoLine="0" autoPict="0">
                <anchor moveWithCells="1">
                  <from>
                    <xdr:col>2</xdr:col>
                    <xdr:colOff>342900</xdr:colOff>
                    <xdr:row>5</xdr:row>
                    <xdr:rowOff>228600</xdr:rowOff>
                  </from>
                  <to>
                    <xdr:col>2</xdr:col>
                    <xdr:colOff>596900</xdr:colOff>
                    <xdr:row>6</xdr:row>
                    <xdr:rowOff>228600</xdr:rowOff>
                  </to>
                </anchor>
              </controlPr>
            </control>
          </mc:Choice>
        </mc:AlternateContent>
        <mc:AlternateContent xmlns:mc="http://schemas.openxmlformats.org/markup-compatibility/2006">
          <mc:Choice Requires="x14">
            <control shapeId="12353" r:id="rId9" name="Check Box 65">
              <controlPr defaultSize="0" autoFill="0" autoLine="0" autoPict="0">
                <anchor moveWithCells="1">
                  <from>
                    <xdr:col>2</xdr:col>
                    <xdr:colOff>342900</xdr:colOff>
                    <xdr:row>5</xdr:row>
                    <xdr:rowOff>228600</xdr:rowOff>
                  </from>
                  <to>
                    <xdr:col>2</xdr:col>
                    <xdr:colOff>596900</xdr:colOff>
                    <xdr:row>6</xdr:row>
                    <xdr:rowOff>228600</xdr:rowOff>
                  </to>
                </anchor>
              </controlPr>
            </control>
          </mc:Choice>
        </mc:AlternateContent>
        <mc:AlternateContent xmlns:mc="http://schemas.openxmlformats.org/markup-compatibility/2006">
          <mc:Choice Requires="x14">
            <control shapeId="12354" r:id="rId10" name="Check Box 66">
              <controlPr defaultSize="0" autoFill="0" autoLine="0" autoPict="0">
                <anchor moveWithCells="1">
                  <from>
                    <xdr:col>2</xdr:col>
                    <xdr:colOff>342900</xdr:colOff>
                    <xdr:row>6</xdr:row>
                    <xdr:rowOff>228600</xdr:rowOff>
                  </from>
                  <to>
                    <xdr:col>2</xdr:col>
                    <xdr:colOff>596900</xdr:colOff>
                    <xdr:row>7</xdr:row>
                    <xdr:rowOff>228600</xdr:rowOff>
                  </to>
                </anchor>
              </controlPr>
            </control>
          </mc:Choice>
        </mc:AlternateContent>
        <mc:AlternateContent xmlns:mc="http://schemas.openxmlformats.org/markup-compatibility/2006">
          <mc:Choice Requires="x14">
            <control shapeId="12355" r:id="rId11" name="Check Box 67">
              <controlPr defaultSize="0" autoFill="0" autoLine="0" autoPict="0">
                <anchor moveWithCells="1">
                  <from>
                    <xdr:col>2</xdr:col>
                    <xdr:colOff>342900</xdr:colOff>
                    <xdr:row>6</xdr:row>
                    <xdr:rowOff>228600</xdr:rowOff>
                  </from>
                  <to>
                    <xdr:col>2</xdr:col>
                    <xdr:colOff>596900</xdr:colOff>
                    <xdr:row>7</xdr:row>
                    <xdr:rowOff>228600</xdr:rowOff>
                  </to>
                </anchor>
              </controlPr>
            </control>
          </mc:Choice>
        </mc:AlternateContent>
        <mc:AlternateContent xmlns:mc="http://schemas.openxmlformats.org/markup-compatibility/2006">
          <mc:Choice Requires="x14">
            <control shapeId="12358" r:id="rId12" name="Check Box 70">
              <controlPr defaultSize="0" autoFill="0" autoLine="0" autoPict="0">
                <anchor moveWithCells="1">
                  <from>
                    <xdr:col>2</xdr:col>
                    <xdr:colOff>342900</xdr:colOff>
                    <xdr:row>8</xdr:row>
                    <xdr:rowOff>228600</xdr:rowOff>
                  </from>
                  <to>
                    <xdr:col>2</xdr:col>
                    <xdr:colOff>596900</xdr:colOff>
                    <xdr:row>8</xdr:row>
                    <xdr:rowOff>469900</xdr:rowOff>
                  </to>
                </anchor>
              </controlPr>
            </control>
          </mc:Choice>
        </mc:AlternateContent>
        <mc:AlternateContent xmlns:mc="http://schemas.openxmlformats.org/markup-compatibility/2006">
          <mc:Choice Requires="x14">
            <control shapeId="12359" r:id="rId13" name="Check Box 71">
              <controlPr defaultSize="0" autoFill="0" autoLine="0" autoPict="0">
                <anchor moveWithCells="1">
                  <from>
                    <xdr:col>2</xdr:col>
                    <xdr:colOff>342900</xdr:colOff>
                    <xdr:row>10</xdr:row>
                    <xdr:rowOff>127000</xdr:rowOff>
                  </from>
                  <to>
                    <xdr:col>2</xdr:col>
                    <xdr:colOff>596900</xdr:colOff>
                    <xdr:row>10</xdr:row>
                    <xdr:rowOff>355600</xdr:rowOff>
                  </to>
                </anchor>
              </controlPr>
            </control>
          </mc:Choice>
        </mc:AlternateContent>
        <mc:AlternateContent xmlns:mc="http://schemas.openxmlformats.org/markup-compatibility/2006">
          <mc:Choice Requires="x14">
            <control shapeId="12360" r:id="rId14" name="Check Box 72">
              <controlPr defaultSize="0" autoFill="0" autoLine="0" autoPict="0">
                <anchor moveWithCells="1">
                  <from>
                    <xdr:col>2</xdr:col>
                    <xdr:colOff>342900</xdr:colOff>
                    <xdr:row>14</xdr:row>
                    <xdr:rowOff>101600</xdr:rowOff>
                  </from>
                  <to>
                    <xdr:col>2</xdr:col>
                    <xdr:colOff>596900</xdr:colOff>
                    <xdr:row>14</xdr:row>
                    <xdr:rowOff>330200</xdr:rowOff>
                  </to>
                </anchor>
              </controlPr>
            </control>
          </mc:Choice>
        </mc:AlternateContent>
        <mc:AlternateContent xmlns:mc="http://schemas.openxmlformats.org/markup-compatibility/2006">
          <mc:Choice Requires="x14">
            <control shapeId="12361" r:id="rId15" name="Check Box 73">
              <controlPr defaultSize="0" autoFill="0" autoLine="0" autoPict="0">
                <anchor moveWithCells="1">
                  <from>
                    <xdr:col>2</xdr:col>
                    <xdr:colOff>342900</xdr:colOff>
                    <xdr:row>16</xdr:row>
                    <xdr:rowOff>0</xdr:rowOff>
                  </from>
                  <to>
                    <xdr:col>2</xdr:col>
                    <xdr:colOff>596900</xdr:colOff>
                    <xdr:row>16</xdr:row>
                    <xdr:rowOff>228600</xdr:rowOff>
                  </to>
                </anchor>
              </controlPr>
            </control>
          </mc:Choice>
        </mc:AlternateContent>
        <mc:AlternateContent xmlns:mc="http://schemas.openxmlformats.org/markup-compatibility/2006">
          <mc:Choice Requires="x14">
            <control shapeId="12362" r:id="rId16" name="Check Box 74">
              <controlPr defaultSize="0" autoFill="0" autoLine="0" autoPict="0">
                <anchor moveWithCells="1">
                  <from>
                    <xdr:col>2</xdr:col>
                    <xdr:colOff>342900</xdr:colOff>
                    <xdr:row>17</xdr:row>
                    <xdr:rowOff>0</xdr:rowOff>
                  </from>
                  <to>
                    <xdr:col>2</xdr:col>
                    <xdr:colOff>596900</xdr:colOff>
                    <xdr:row>17</xdr:row>
                    <xdr:rowOff>228600</xdr:rowOff>
                  </to>
                </anchor>
              </controlPr>
            </control>
          </mc:Choice>
        </mc:AlternateContent>
        <mc:AlternateContent xmlns:mc="http://schemas.openxmlformats.org/markup-compatibility/2006">
          <mc:Choice Requires="x14">
            <control shapeId="12363" r:id="rId17" name="Check Box 75">
              <controlPr defaultSize="0" autoFill="0" autoLine="0" autoPict="0">
                <anchor moveWithCells="1">
                  <from>
                    <xdr:col>2</xdr:col>
                    <xdr:colOff>342900</xdr:colOff>
                    <xdr:row>18</xdr:row>
                    <xdr:rowOff>0</xdr:rowOff>
                  </from>
                  <to>
                    <xdr:col>2</xdr:col>
                    <xdr:colOff>596900</xdr:colOff>
                    <xdr:row>18</xdr:row>
                    <xdr:rowOff>228600</xdr:rowOff>
                  </to>
                </anchor>
              </controlPr>
            </control>
          </mc:Choice>
        </mc:AlternateContent>
        <mc:AlternateContent xmlns:mc="http://schemas.openxmlformats.org/markup-compatibility/2006">
          <mc:Choice Requires="x14">
            <control shapeId="12364" r:id="rId18" name="Check Box 76">
              <controlPr defaultSize="0" autoFill="0" autoLine="0" autoPict="0">
                <anchor moveWithCells="1">
                  <from>
                    <xdr:col>2</xdr:col>
                    <xdr:colOff>342900</xdr:colOff>
                    <xdr:row>19</xdr:row>
                    <xdr:rowOff>0</xdr:rowOff>
                  </from>
                  <to>
                    <xdr:col>2</xdr:col>
                    <xdr:colOff>596900</xdr:colOff>
                    <xdr:row>19</xdr:row>
                    <xdr:rowOff>228600</xdr:rowOff>
                  </to>
                </anchor>
              </controlPr>
            </control>
          </mc:Choice>
        </mc:AlternateContent>
        <mc:AlternateContent xmlns:mc="http://schemas.openxmlformats.org/markup-compatibility/2006">
          <mc:Choice Requires="x14">
            <control shapeId="12365" r:id="rId19" name="Check Box 77">
              <controlPr defaultSize="0" autoFill="0" autoLine="0" autoPict="0">
                <anchor moveWithCells="1">
                  <from>
                    <xdr:col>2</xdr:col>
                    <xdr:colOff>342900</xdr:colOff>
                    <xdr:row>21</xdr:row>
                    <xdr:rowOff>0</xdr:rowOff>
                  </from>
                  <to>
                    <xdr:col>2</xdr:col>
                    <xdr:colOff>596900</xdr:colOff>
                    <xdr:row>21</xdr:row>
                    <xdr:rowOff>228600</xdr:rowOff>
                  </to>
                </anchor>
              </controlPr>
            </control>
          </mc:Choice>
        </mc:AlternateContent>
        <mc:AlternateContent xmlns:mc="http://schemas.openxmlformats.org/markup-compatibility/2006">
          <mc:Choice Requires="x14">
            <control shapeId="12366" r:id="rId20" name="Check Box 78">
              <controlPr defaultSize="0" autoFill="0" autoLine="0" autoPict="0">
                <anchor moveWithCells="1">
                  <from>
                    <xdr:col>2</xdr:col>
                    <xdr:colOff>342900</xdr:colOff>
                    <xdr:row>23</xdr:row>
                    <xdr:rowOff>0</xdr:rowOff>
                  </from>
                  <to>
                    <xdr:col>2</xdr:col>
                    <xdr:colOff>596900</xdr:colOff>
                    <xdr:row>23</xdr:row>
                    <xdr:rowOff>228600</xdr:rowOff>
                  </to>
                </anchor>
              </controlPr>
            </control>
          </mc:Choice>
        </mc:AlternateContent>
        <mc:AlternateContent xmlns:mc="http://schemas.openxmlformats.org/markup-compatibility/2006">
          <mc:Choice Requires="x14">
            <control shapeId="12367" r:id="rId21" name="Check Box 79">
              <controlPr defaultSize="0" autoFill="0" autoLine="0" autoPict="0">
                <anchor moveWithCells="1">
                  <from>
                    <xdr:col>2</xdr:col>
                    <xdr:colOff>342900</xdr:colOff>
                    <xdr:row>24</xdr:row>
                    <xdr:rowOff>0</xdr:rowOff>
                  </from>
                  <to>
                    <xdr:col>2</xdr:col>
                    <xdr:colOff>596900</xdr:colOff>
                    <xdr:row>24</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40BE9-E821-774F-A9BA-06326B610D0E}">
  <sheetPr codeName="Sheet8"/>
  <dimension ref="A1:E45"/>
  <sheetViews>
    <sheetView topLeftCell="A21" zoomScale="67" zoomScaleNormal="75" workbookViewId="0">
      <selection activeCell="A43" sqref="A43"/>
    </sheetView>
  </sheetViews>
  <sheetFormatPr baseColWidth="10" defaultRowHeight="18" x14ac:dyDescent="0.2"/>
  <cols>
    <col min="1" max="1" width="14" style="6" bestFit="1" customWidth="1"/>
    <col min="2" max="2" width="255.83203125" style="1" bestFit="1" customWidth="1"/>
    <col min="3" max="3" width="12" style="85" bestFit="1" customWidth="1"/>
    <col min="4" max="4" width="8.5" style="85" hidden="1" customWidth="1"/>
    <col min="5" max="16384" width="10.83203125" style="1"/>
  </cols>
  <sheetData>
    <row r="1" spans="1:5" ht="23" x14ac:dyDescent="0.25">
      <c r="A1" s="128" t="s">
        <v>53</v>
      </c>
      <c r="B1" s="129"/>
      <c r="C1" s="129"/>
      <c r="E1" s="1" t="s">
        <v>197</v>
      </c>
    </row>
    <row r="2" spans="1:5" x14ac:dyDescent="0.2">
      <c r="A2" s="68" t="s">
        <v>245</v>
      </c>
      <c r="B2" s="2" t="s">
        <v>244</v>
      </c>
      <c r="C2" s="3"/>
      <c r="D2" s="86" t="b">
        <v>0</v>
      </c>
      <c r="E2" s="1">
        <v>60.3</v>
      </c>
    </row>
    <row r="3" spans="1:5" ht="19" x14ac:dyDescent="0.2">
      <c r="A3" s="68" t="s">
        <v>229</v>
      </c>
      <c r="B3" s="23" t="s">
        <v>260</v>
      </c>
      <c r="C3" s="3"/>
      <c r="D3" s="86" t="b">
        <v>0</v>
      </c>
      <c r="E3" s="1">
        <v>49.8</v>
      </c>
    </row>
    <row r="4" spans="1:5" x14ac:dyDescent="0.2">
      <c r="A4" s="68" t="s">
        <v>305</v>
      </c>
      <c r="B4" s="2" t="s">
        <v>304</v>
      </c>
      <c r="C4" s="3"/>
      <c r="D4" s="86" t="b">
        <v>0</v>
      </c>
      <c r="E4" s="1">
        <v>61.3</v>
      </c>
    </row>
    <row r="5" spans="1:5" x14ac:dyDescent="0.2">
      <c r="A5" s="68" t="s">
        <v>357</v>
      </c>
      <c r="B5" s="2" t="s">
        <v>356</v>
      </c>
      <c r="C5" s="3"/>
      <c r="D5" s="86" t="b">
        <v>0</v>
      </c>
      <c r="E5" s="1">
        <v>46.1</v>
      </c>
    </row>
    <row r="6" spans="1:5" x14ac:dyDescent="0.2">
      <c r="A6" s="68" t="s">
        <v>367</v>
      </c>
      <c r="B6" s="2" t="s">
        <v>366</v>
      </c>
      <c r="C6" s="3"/>
      <c r="D6" s="86" t="b">
        <v>0</v>
      </c>
      <c r="E6" s="1">
        <v>36.200000000000003</v>
      </c>
    </row>
    <row r="7" spans="1:5" x14ac:dyDescent="0.2">
      <c r="A7" s="68" t="s">
        <v>379</v>
      </c>
      <c r="B7" s="2" t="s">
        <v>378</v>
      </c>
      <c r="C7" s="3"/>
      <c r="D7" s="86" t="b">
        <v>0</v>
      </c>
      <c r="E7" s="1">
        <v>65</v>
      </c>
    </row>
    <row r="8" spans="1:5" x14ac:dyDescent="0.2">
      <c r="A8" s="68" t="s">
        <v>503</v>
      </c>
      <c r="B8" s="2" t="s">
        <v>502</v>
      </c>
      <c r="C8" s="3"/>
      <c r="D8" s="86" t="b">
        <v>0</v>
      </c>
      <c r="E8" s="1">
        <v>65.8</v>
      </c>
    </row>
    <row r="9" spans="1:5" x14ac:dyDescent="0.2">
      <c r="A9" s="68" t="s">
        <v>516</v>
      </c>
      <c r="B9" s="2" t="s">
        <v>515</v>
      </c>
      <c r="C9" s="3"/>
      <c r="D9" s="86" t="b">
        <v>0</v>
      </c>
      <c r="E9" s="1">
        <v>55.7</v>
      </c>
    </row>
    <row r="10" spans="1:5" x14ac:dyDescent="0.2">
      <c r="A10" s="68" t="s">
        <v>534</v>
      </c>
      <c r="B10" s="2" t="s">
        <v>533</v>
      </c>
      <c r="C10" s="3"/>
      <c r="D10" s="86" t="b">
        <v>0</v>
      </c>
      <c r="E10" s="1">
        <v>81.900000000000006</v>
      </c>
    </row>
    <row r="11" spans="1:5" ht="18" customHeight="1" x14ac:dyDescent="0.2">
      <c r="A11" s="68" t="s">
        <v>560</v>
      </c>
      <c r="B11" s="5" t="s">
        <v>559</v>
      </c>
      <c r="C11" s="3"/>
      <c r="D11" s="86" t="b">
        <v>0</v>
      </c>
      <c r="E11" s="1">
        <v>28.3</v>
      </c>
    </row>
    <row r="12" spans="1:5" ht="38" x14ac:dyDescent="0.2">
      <c r="A12" s="68" t="s">
        <v>597</v>
      </c>
      <c r="B12" s="5" t="s">
        <v>596</v>
      </c>
      <c r="C12" s="3"/>
      <c r="D12" s="86" t="b">
        <v>0</v>
      </c>
      <c r="E12" s="1">
        <v>43.6</v>
      </c>
    </row>
    <row r="13" spans="1:5" ht="19" x14ac:dyDescent="0.2">
      <c r="A13" s="68" t="s">
        <v>603</v>
      </c>
      <c r="B13" s="5" t="s">
        <v>602</v>
      </c>
      <c r="C13" s="3"/>
      <c r="D13" s="86" t="b">
        <v>0</v>
      </c>
      <c r="E13" s="1">
        <v>63.1</v>
      </c>
    </row>
    <row r="14" spans="1:5" x14ac:dyDescent="0.2">
      <c r="A14" s="65" t="s">
        <v>642</v>
      </c>
      <c r="B14" s="2" t="s">
        <v>641</v>
      </c>
      <c r="C14" s="3"/>
      <c r="D14" s="85" t="b">
        <v>0</v>
      </c>
      <c r="E14" s="1">
        <v>76.400000000000006</v>
      </c>
    </row>
    <row r="15" spans="1:5" x14ac:dyDescent="0.2">
      <c r="A15" s="65" t="s">
        <v>666</v>
      </c>
      <c r="B15" s="2" t="s">
        <v>665</v>
      </c>
      <c r="C15" s="3"/>
      <c r="D15" s="85" t="b">
        <v>0</v>
      </c>
      <c r="E15" s="1">
        <v>57</v>
      </c>
    </row>
    <row r="16" spans="1:5" x14ac:dyDescent="0.2">
      <c r="A16" s="65" t="s">
        <v>730</v>
      </c>
      <c r="B16" s="2" t="s">
        <v>729</v>
      </c>
      <c r="C16" s="3"/>
      <c r="D16" s="85" t="b">
        <v>0</v>
      </c>
      <c r="E16" s="1">
        <v>40.299999999999997</v>
      </c>
    </row>
    <row r="17" spans="1:5" ht="19" x14ac:dyDescent="0.2">
      <c r="A17" s="65" t="s">
        <v>734</v>
      </c>
      <c r="B17" s="23" t="s">
        <v>733</v>
      </c>
      <c r="C17" s="3"/>
      <c r="D17" s="85" t="b">
        <v>0</v>
      </c>
      <c r="E17" s="1">
        <v>66.3</v>
      </c>
    </row>
    <row r="18" spans="1:5" ht="19" x14ac:dyDescent="0.2">
      <c r="A18" s="65" t="s">
        <v>756</v>
      </c>
      <c r="B18" s="23" t="s">
        <v>755</v>
      </c>
      <c r="C18" s="3"/>
      <c r="D18" s="85" t="b">
        <v>0</v>
      </c>
      <c r="E18" s="1">
        <v>51.2</v>
      </c>
    </row>
    <row r="19" spans="1:5" ht="19" x14ac:dyDescent="0.2">
      <c r="A19" s="65" t="s">
        <v>758</v>
      </c>
      <c r="B19" s="23" t="s">
        <v>757</v>
      </c>
      <c r="C19" s="3"/>
      <c r="D19" s="85" t="b">
        <v>0</v>
      </c>
      <c r="E19" s="1">
        <v>65.7</v>
      </c>
    </row>
    <row r="20" spans="1:5" x14ac:dyDescent="0.2">
      <c r="A20" s="125" t="s">
        <v>18</v>
      </c>
      <c r="B20" s="125"/>
      <c r="C20" s="125"/>
    </row>
    <row r="21" spans="1:5" x14ac:dyDescent="0.2">
      <c r="A21" s="65" t="s">
        <v>227</v>
      </c>
      <c r="B21" s="2" t="s">
        <v>226</v>
      </c>
      <c r="C21" s="2"/>
      <c r="D21" s="85" t="b">
        <v>0</v>
      </c>
      <c r="E21" s="1">
        <v>49.6</v>
      </c>
    </row>
    <row r="22" spans="1:5" x14ac:dyDescent="0.2">
      <c r="A22" s="65" t="s">
        <v>292</v>
      </c>
      <c r="B22" s="2" t="s">
        <v>291</v>
      </c>
      <c r="C22" s="2"/>
      <c r="D22" s="85" t="b">
        <v>0</v>
      </c>
      <c r="E22" s="1">
        <v>72.400000000000006</v>
      </c>
    </row>
    <row r="23" spans="1:5" ht="21" customHeight="1" x14ac:dyDescent="0.2">
      <c r="A23" s="68" t="s">
        <v>333</v>
      </c>
      <c r="B23" s="5" t="s">
        <v>332</v>
      </c>
      <c r="C23" s="2"/>
      <c r="D23" s="85" t="b">
        <v>0</v>
      </c>
      <c r="E23" s="1">
        <v>90.3</v>
      </c>
    </row>
    <row r="24" spans="1:5" ht="19" x14ac:dyDescent="0.2">
      <c r="A24" s="68" t="s">
        <v>469</v>
      </c>
      <c r="B24" s="5" t="s">
        <v>468</v>
      </c>
      <c r="C24" s="2"/>
      <c r="D24" s="85" t="b">
        <v>0</v>
      </c>
      <c r="E24" s="1">
        <v>59</v>
      </c>
    </row>
    <row r="25" spans="1:5" ht="19" x14ac:dyDescent="0.2">
      <c r="A25" s="68" t="s">
        <v>521</v>
      </c>
      <c r="B25" s="5" t="s">
        <v>520</v>
      </c>
      <c r="C25" s="2"/>
      <c r="D25" s="85" t="b">
        <v>0</v>
      </c>
      <c r="E25" s="1">
        <v>44.3</v>
      </c>
    </row>
    <row r="26" spans="1:5" ht="19" x14ac:dyDescent="0.2">
      <c r="A26" s="68" t="s">
        <v>580</v>
      </c>
      <c r="B26" s="5" t="s">
        <v>581</v>
      </c>
      <c r="C26" s="2"/>
      <c r="D26" s="85" t="b">
        <v>0</v>
      </c>
      <c r="E26" s="1">
        <v>37.6</v>
      </c>
    </row>
    <row r="27" spans="1:5" ht="19" x14ac:dyDescent="0.2">
      <c r="A27" s="68" t="s">
        <v>619</v>
      </c>
      <c r="B27" s="5" t="s">
        <v>618</v>
      </c>
      <c r="C27" s="2"/>
      <c r="D27" s="85" t="b">
        <v>0</v>
      </c>
      <c r="E27" s="1">
        <v>50.5</v>
      </c>
    </row>
    <row r="28" spans="1:5" ht="19" customHeight="1" x14ac:dyDescent="0.2">
      <c r="A28" s="68" t="s">
        <v>658</v>
      </c>
      <c r="B28" s="5" t="s">
        <v>657</v>
      </c>
      <c r="C28" s="2"/>
      <c r="D28" s="85" t="b">
        <v>0</v>
      </c>
      <c r="E28" s="1">
        <v>62</v>
      </c>
    </row>
    <row r="29" spans="1:5" ht="19" x14ac:dyDescent="0.2">
      <c r="A29" s="68" t="s">
        <v>736</v>
      </c>
      <c r="B29" s="5" t="s">
        <v>735</v>
      </c>
      <c r="C29" s="2"/>
      <c r="D29" s="85" t="b">
        <v>0</v>
      </c>
      <c r="E29" s="1">
        <v>22.9</v>
      </c>
    </row>
    <row r="30" spans="1:5" x14ac:dyDescent="0.2">
      <c r="A30" s="125" t="s">
        <v>19</v>
      </c>
      <c r="B30" s="125"/>
      <c r="C30" s="125"/>
    </row>
    <row r="31" spans="1:5" ht="20" customHeight="1" x14ac:dyDescent="0.2">
      <c r="A31" s="68" t="s">
        <v>223</v>
      </c>
      <c r="B31" s="5" t="s">
        <v>222</v>
      </c>
      <c r="C31" s="2"/>
      <c r="D31" s="85" t="b">
        <v>0</v>
      </c>
      <c r="E31" s="1">
        <v>62.5</v>
      </c>
    </row>
    <row r="32" spans="1:5" x14ac:dyDescent="0.2">
      <c r="A32" s="68" t="s">
        <v>251</v>
      </c>
      <c r="B32" s="2" t="s">
        <v>250</v>
      </c>
      <c r="C32" s="2"/>
      <c r="D32" s="85" t="b">
        <v>0</v>
      </c>
      <c r="E32" s="1">
        <v>32.6</v>
      </c>
    </row>
    <row r="33" spans="1:5" x14ac:dyDescent="0.2">
      <c r="A33" s="68" t="s">
        <v>313</v>
      </c>
      <c r="B33" s="2" t="s">
        <v>312</v>
      </c>
      <c r="C33" s="2"/>
      <c r="D33" s="85" t="b">
        <v>0</v>
      </c>
      <c r="E33" s="1">
        <v>62</v>
      </c>
    </row>
    <row r="34" spans="1:5" x14ac:dyDescent="0.2">
      <c r="A34" s="68" t="s">
        <v>341</v>
      </c>
      <c r="B34" s="2" t="s">
        <v>340</v>
      </c>
      <c r="C34" s="2"/>
      <c r="D34" s="85" t="b">
        <v>0</v>
      </c>
      <c r="E34" s="1">
        <v>44.9</v>
      </c>
    </row>
    <row r="35" spans="1:5" x14ac:dyDescent="0.2">
      <c r="A35" s="68" t="s">
        <v>443</v>
      </c>
      <c r="B35" s="2" t="s">
        <v>442</v>
      </c>
      <c r="C35" s="2"/>
      <c r="D35" s="85" t="b">
        <v>0</v>
      </c>
      <c r="E35" s="1">
        <v>98.4</v>
      </c>
    </row>
    <row r="36" spans="1:5" ht="204" customHeight="1" x14ac:dyDescent="0.2">
      <c r="A36" s="68" t="s">
        <v>489</v>
      </c>
      <c r="B36" s="5" t="s">
        <v>488</v>
      </c>
      <c r="C36" s="2"/>
      <c r="D36" s="85" t="b">
        <v>0</v>
      </c>
      <c r="E36" s="1">
        <v>60.2</v>
      </c>
    </row>
    <row r="37" spans="1:5" ht="266" x14ac:dyDescent="0.2">
      <c r="A37" s="68" t="s">
        <v>501</v>
      </c>
      <c r="B37" s="23" t="s">
        <v>530</v>
      </c>
      <c r="C37" s="2"/>
      <c r="D37" s="85" t="b">
        <v>0</v>
      </c>
      <c r="E37" s="1">
        <v>26.9</v>
      </c>
    </row>
    <row r="38" spans="1:5" x14ac:dyDescent="0.2">
      <c r="A38" s="68" t="s">
        <v>574</v>
      </c>
      <c r="B38" s="2" t="s">
        <v>573</v>
      </c>
      <c r="C38" s="2"/>
      <c r="D38" s="85" t="b">
        <v>0</v>
      </c>
      <c r="E38" s="1">
        <v>53</v>
      </c>
    </row>
    <row r="39" spans="1:5" x14ac:dyDescent="0.2">
      <c r="A39" s="68" t="s">
        <v>611</v>
      </c>
      <c r="B39" s="2" t="s">
        <v>613</v>
      </c>
      <c r="C39" s="2"/>
      <c r="D39" s="85" t="b">
        <v>0</v>
      </c>
      <c r="E39" s="1">
        <v>53</v>
      </c>
    </row>
    <row r="40" spans="1:5" x14ac:dyDescent="0.2">
      <c r="A40" s="68" t="s">
        <v>648</v>
      </c>
      <c r="B40" s="2" t="s">
        <v>647</v>
      </c>
      <c r="C40" s="2"/>
      <c r="D40" s="85" t="b">
        <v>0</v>
      </c>
      <c r="E40" s="1">
        <v>65</v>
      </c>
    </row>
    <row r="41" spans="1:5" x14ac:dyDescent="0.2">
      <c r="A41" s="68" t="s">
        <v>714</v>
      </c>
      <c r="B41" s="2" t="s">
        <v>713</v>
      </c>
      <c r="C41" s="2"/>
      <c r="D41" s="85" t="b">
        <v>0</v>
      </c>
      <c r="E41" s="1">
        <v>23</v>
      </c>
    </row>
    <row r="43" spans="1:5" x14ac:dyDescent="0.2">
      <c r="A43" s="6" t="s">
        <v>762</v>
      </c>
      <c r="B43" s="7">
        <f>COUNTA(D2:D41)</f>
        <v>38</v>
      </c>
    </row>
    <row r="44" spans="1:5" x14ac:dyDescent="0.2">
      <c r="A44" s="6" t="s">
        <v>37</v>
      </c>
      <c r="B44" s="7">
        <f>COUNTIF(D2:D41, TRUE)</f>
        <v>0</v>
      </c>
    </row>
    <row r="45" spans="1:5" x14ac:dyDescent="0.2">
      <c r="A45" s="6" t="s">
        <v>38</v>
      </c>
      <c r="B45" s="11">
        <f>(B44/B43)*100</f>
        <v>0</v>
      </c>
    </row>
  </sheetData>
  <mergeCells count="3">
    <mergeCell ref="A20:C20"/>
    <mergeCell ref="A30:C30"/>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25" r:id="rId3" name="Check Box 57">
              <controlPr defaultSize="0" autoFill="0" autoLine="0" autoPict="0">
                <anchor moveWithCells="1">
                  <from>
                    <xdr:col>2</xdr:col>
                    <xdr:colOff>279400</xdr:colOff>
                    <xdr:row>1</xdr:row>
                    <xdr:rowOff>38100</xdr:rowOff>
                  </from>
                  <to>
                    <xdr:col>2</xdr:col>
                    <xdr:colOff>584200</xdr:colOff>
                    <xdr:row>1</xdr:row>
                    <xdr:rowOff>228600</xdr:rowOff>
                  </to>
                </anchor>
              </controlPr>
            </control>
          </mc:Choice>
        </mc:AlternateContent>
        <mc:AlternateContent xmlns:mc="http://schemas.openxmlformats.org/markup-compatibility/2006">
          <mc:Choice Requires="x14">
            <control shapeId="7226" r:id="rId4" name="Check Box 58">
              <controlPr defaultSize="0" autoFill="0" autoLine="0" autoPict="0">
                <anchor moveWithCells="1">
                  <from>
                    <xdr:col>2</xdr:col>
                    <xdr:colOff>279400</xdr:colOff>
                    <xdr:row>2</xdr:row>
                    <xdr:rowOff>38100</xdr:rowOff>
                  </from>
                  <to>
                    <xdr:col>2</xdr:col>
                    <xdr:colOff>584200</xdr:colOff>
                    <xdr:row>2</xdr:row>
                    <xdr:rowOff>228600</xdr:rowOff>
                  </to>
                </anchor>
              </controlPr>
            </control>
          </mc:Choice>
        </mc:AlternateContent>
        <mc:AlternateContent xmlns:mc="http://schemas.openxmlformats.org/markup-compatibility/2006">
          <mc:Choice Requires="x14">
            <control shapeId="7227" r:id="rId5" name="Check Box 59">
              <controlPr defaultSize="0" autoFill="0" autoLine="0" autoPict="0">
                <anchor moveWithCells="1">
                  <from>
                    <xdr:col>2</xdr:col>
                    <xdr:colOff>279400</xdr:colOff>
                    <xdr:row>3</xdr:row>
                    <xdr:rowOff>38100</xdr:rowOff>
                  </from>
                  <to>
                    <xdr:col>2</xdr:col>
                    <xdr:colOff>584200</xdr:colOff>
                    <xdr:row>4</xdr:row>
                    <xdr:rowOff>0</xdr:rowOff>
                  </to>
                </anchor>
              </controlPr>
            </control>
          </mc:Choice>
        </mc:AlternateContent>
        <mc:AlternateContent xmlns:mc="http://schemas.openxmlformats.org/markup-compatibility/2006">
          <mc:Choice Requires="x14">
            <control shapeId="7228" r:id="rId6" name="Check Box 60">
              <controlPr defaultSize="0" autoFill="0" autoLine="0" autoPict="0">
                <anchor moveWithCells="1">
                  <from>
                    <xdr:col>2</xdr:col>
                    <xdr:colOff>279400</xdr:colOff>
                    <xdr:row>4</xdr:row>
                    <xdr:rowOff>38100</xdr:rowOff>
                  </from>
                  <to>
                    <xdr:col>2</xdr:col>
                    <xdr:colOff>584200</xdr:colOff>
                    <xdr:row>5</xdr:row>
                    <xdr:rowOff>0</xdr:rowOff>
                  </to>
                </anchor>
              </controlPr>
            </control>
          </mc:Choice>
        </mc:AlternateContent>
        <mc:AlternateContent xmlns:mc="http://schemas.openxmlformats.org/markup-compatibility/2006">
          <mc:Choice Requires="x14">
            <control shapeId="7229" r:id="rId7" name="Check Box 61">
              <controlPr defaultSize="0" autoFill="0" autoLine="0" autoPict="0">
                <anchor moveWithCells="1">
                  <from>
                    <xdr:col>2</xdr:col>
                    <xdr:colOff>279400</xdr:colOff>
                    <xdr:row>5</xdr:row>
                    <xdr:rowOff>38100</xdr:rowOff>
                  </from>
                  <to>
                    <xdr:col>2</xdr:col>
                    <xdr:colOff>584200</xdr:colOff>
                    <xdr:row>5</xdr:row>
                    <xdr:rowOff>228600</xdr:rowOff>
                  </to>
                </anchor>
              </controlPr>
            </control>
          </mc:Choice>
        </mc:AlternateContent>
        <mc:AlternateContent xmlns:mc="http://schemas.openxmlformats.org/markup-compatibility/2006">
          <mc:Choice Requires="x14">
            <control shapeId="7230" r:id="rId8" name="Check Box 62">
              <controlPr defaultSize="0" autoFill="0" autoLine="0" autoPict="0">
                <anchor moveWithCells="1">
                  <from>
                    <xdr:col>2</xdr:col>
                    <xdr:colOff>279400</xdr:colOff>
                    <xdr:row>6</xdr:row>
                    <xdr:rowOff>38100</xdr:rowOff>
                  </from>
                  <to>
                    <xdr:col>2</xdr:col>
                    <xdr:colOff>584200</xdr:colOff>
                    <xdr:row>7</xdr:row>
                    <xdr:rowOff>0</xdr:rowOff>
                  </to>
                </anchor>
              </controlPr>
            </control>
          </mc:Choice>
        </mc:AlternateContent>
        <mc:AlternateContent xmlns:mc="http://schemas.openxmlformats.org/markup-compatibility/2006">
          <mc:Choice Requires="x14">
            <control shapeId="7231" r:id="rId9" name="Check Box 63">
              <controlPr defaultSize="0" autoFill="0" autoLine="0" autoPict="0">
                <anchor moveWithCells="1">
                  <from>
                    <xdr:col>2</xdr:col>
                    <xdr:colOff>279400</xdr:colOff>
                    <xdr:row>7</xdr:row>
                    <xdr:rowOff>38100</xdr:rowOff>
                  </from>
                  <to>
                    <xdr:col>2</xdr:col>
                    <xdr:colOff>584200</xdr:colOff>
                    <xdr:row>8</xdr:row>
                    <xdr:rowOff>0</xdr:rowOff>
                  </to>
                </anchor>
              </controlPr>
            </control>
          </mc:Choice>
        </mc:AlternateContent>
        <mc:AlternateContent xmlns:mc="http://schemas.openxmlformats.org/markup-compatibility/2006">
          <mc:Choice Requires="x14">
            <control shapeId="7232" r:id="rId10" name="Check Box 64">
              <controlPr defaultSize="0" autoFill="0" autoLine="0" autoPict="0">
                <anchor moveWithCells="1">
                  <from>
                    <xdr:col>2</xdr:col>
                    <xdr:colOff>279400</xdr:colOff>
                    <xdr:row>8</xdr:row>
                    <xdr:rowOff>38100</xdr:rowOff>
                  </from>
                  <to>
                    <xdr:col>2</xdr:col>
                    <xdr:colOff>584200</xdr:colOff>
                    <xdr:row>8</xdr:row>
                    <xdr:rowOff>228600</xdr:rowOff>
                  </to>
                </anchor>
              </controlPr>
            </control>
          </mc:Choice>
        </mc:AlternateContent>
        <mc:AlternateContent xmlns:mc="http://schemas.openxmlformats.org/markup-compatibility/2006">
          <mc:Choice Requires="x14">
            <control shapeId="7233" r:id="rId11" name="Check Box 65">
              <controlPr defaultSize="0" autoFill="0" autoLine="0" autoPict="0">
                <anchor moveWithCells="1">
                  <from>
                    <xdr:col>2</xdr:col>
                    <xdr:colOff>279400</xdr:colOff>
                    <xdr:row>9</xdr:row>
                    <xdr:rowOff>38100</xdr:rowOff>
                  </from>
                  <to>
                    <xdr:col>2</xdr:col>
                    <xdr:colOff>584200</xdr:colOff>
                    <xdr:row>9</xdr:row>
                    <xdr:rowOff>228600</xdr:rowOff>
                  </to>
                </anchor>
              </controlPr>
            </control>
          </mc:Choice>
        </mc:AlternateContent>
        <mc:AlternateContent xmlns:mc="http://schemas.openxmlformats.org/markup-compatibility/2006">
          <mc:Choice Requires="x14">
            <control shapeId="7234" r:id="rId12" name="Check Box 66">
              <controlPr defaultSize="0" autoFill="0" autoLine="0" autoPict="0">
                <anchor moveWithCells="1">
                  <from>
                    <xdr:col>2</xdr:col>
                    <xdr:colOff>279400</xdr:colOff>
                    <xdr:row>10</xdr:row>
                    <xdr:rowOff>38100</xdr:rowOff>
                  </from>
                  <to>
                    <xdr:col>2</xdr:col>
                    <xdr:colOff>584200</xdr:colOff>
                    <xdr:row>11</xdr:row>
                    <xdr:rowOff>0</xdr:rowOff>
                  </to>
                </anchor>
              </controlPr>
            </control>
          </mc:Choice>
        </mc:AlternateContent>
        <mc:AlternateContent xmlns:mc="http://schemas.openxmlformats.org/markup-compatibility/2006">
          <mc:Choice Requires="x14">
            <control shapeId="7235" r:id="rId13" name="Check Box 67">
              <controlPr defaultSize="0" autoFill="0" autoLine="0" autoPict="0">
                <anchor moveWithCells="1">
                  <from>
                    <xdr:col>2</xdr:col>
                    <xdr:colOff>279400</xdr:colOff>
                    <xdr:row>11</xdr:row>
                    <xdr:rowOff>38100</xdr:rowOff>
                  </from>
                  <to>
                    <xdr:col>2</xdr:col>
                    <xdr:colOff>584200</xdr:colOff>
                    <xdr:row>11</xdr:row>
                    <xdr:rowOff>228600</xdr:rowOff>
                  </to>
                </anchor>
              </controlPr>
            </control>
          </mc:Choice>
        </mc:AlternateContent>
        <mc:AlternateContent xmlns:mc="http://schemas.openxmlformats.org/markup-compatibility/2006">
          <mc:Choice Requires="x14">
            <control shapeId="7236" r:id="rId14" name="Check Box 68">
              <controlPr defaultSize="0" autoFill="0" autoLine="0" autoPict="0">
                <anchor moveWithCells="1">
                  <from>
                    <xdr:col>2</xdr:col>
                    <xdr:colOff>279400</xdr:colOff>
                    <xdr:row>12</xdr:row>
                    <xdr:rowOff>38100</xdr:rowOff>
                  </from>
                  <to>
                    <xdr:col>2</xdr:col>
                    <xdr:colOff>584200</xdr:colOff>
                    <xdr:row>12</xdr:row>
                    <xdr:rowOff>228600</xdr:rowOff>
                  </to>
                </anchor>
              </controlPr>
            </control>
          </mc:Choice>
        </mc:AlternateContent>
        <mc:AlternateContent xmlns:mc="http://schemas.openxmlformats.org/markup-compatibility/2006">
          <mc:Choice Requires="x14">
            <control shapeId="7237" r:id="rId15" name="Check Box 69">
              <controlPr defaultSize="0" autoFill="0" autoLine="0" autoPict="0">
                <anchor moveWithCells="1">
                  <from>
                    <xdr:col>2</xdr:col>
                    <xdr:colOff>279400</xdr:colOff>
                    <xdr:row>13</xdr:row>
                    <xdr:rowOff>38100</xdr:rowOff>
                  </from>
                  <to>
                    <xdr:col>2</xdr:col>
                    <xdr:colOff>584200</xdr:colOff>
                    <xdr:row>14</xdr:row>
                    <xdr:rowOff>0</xdr:rowOff>
                  </to>
                </anchor>
              </controlPr>
            </control>
          </mc:Choice>
        </mc:AlternateContent>
        <mc:AlternateContent xmlns:mc="http://schemas.openxmlformats.org/markup-compatibility/2006">
          <mc:Choice Requires="x14">
            <control shapeId="7238" r:id="rId16" name="Check Box 70">
              <controlPr defaultSize="0" autoFill="0" autoLine="0" autoPict="0">
                <anchor moveWithCells="1">
                  <from>
                    <xdr:col>2</xdr:col>
                    <xdr:colOff>279400</xdr:colOff>
                    <xdr:row>14</xdr:row>
                    <xdr:rowOff>38100</xdr:rowOff>
                  </from>
                  <to>
                    <xdr:col>2</xdr:col>
                    <xdr:colOff>584200</xdr:colOff>
                    <xdr:row>15</xdr:row>
                    <xdr:rowOff>0</xdr:rowOff>
                  </to>
                </anchor>
              </controlPr>
            </control>
          </mc:Choice>
        </mc:AlternateContent>
        <mc:AlternateContent xmlns:mc="http://schemas.openxmlformats.org/markup-compatibility/2006">
          <mc:Choice Requires="x14">
            <control shapeId="7239" r:id="rId17" name="Check Box 71">
              <controlPr defaultSize="0" autoFill="0" autoLine="0" autoPict="0">
                <anchor moveWithCells="1">
                  <from>
                    <xdr:col>2</xdr:col>
                    <xdr:colOff>279400</xdr:colOff>
                    <xdr:row>15</xdr:row>
                    <xdr:rowOff>38100</xdr:rowOff>
                  </from>
                  <to>
                    <xdr:col>2</xdr:col>
                    <xdr:colOff>584200</xdr:colOff>
                    <xdr:row>15</xdr:row>
                    <xdr:rowOff>228600</xdr:rowOff>
                  </to>
                </anchor>
              </controlPr>
            </control>
          </mc:Choice>
        </mc:AlternateContent>
        <mc:AlternateContent xmlns:mc="http://schemas.openxmlformats.org/markup-compatibility/2006">
          <mc:Choice Requires="x14">
            <control shapeId="7240" r:id="rId18" name="Check Box 72">
              <controlPr defaultSize="0" autoFill="0" autoLine="0" autoPict="0">
                <anchor moveWithCells="1">
                  <from>
                    <xdr:col>2</xdr:col>
                    <xdr:colOff>279400</xdr:colOff>
                    <xdr:row>16</xdr:row>
                    <xdr:rowOff>38100</xdr:rowOff>
                  </from>
                  <to>
                    <xdr:col>2</xdr:col>
                    <xdr:colOff>584200</xdr:colOff>
                    <xdr:row>16</xdr:row>
                    <xdr:rowOff>228600</xdr:rowOff>
                  </to>
                </anchor>
              </controlPr>
            </control>
          </mc:Choice>
        </mc:AlternateContent>
        <mc:AlternateContent xmlns:mc="http://schemas.openxmlformats.org/markup-compatibility/2006">
          <mc:Choice Requires="x14">
            <control shapeId="7241" r:id="rId19" name="Check Box 73">
              <controlPr defaultSize="0" autoFill="0" autoLine="0" autoPict="0">
                <anchor moveWithCells="1">
                  <from>
                    <xdr:col>2</xdr:col>
                    <xdr:colOff>279400</xdr:colOff>
                    <xdr:row>17</xdr:row>
                    <xdr:rowOff>38100</xdr:rowOff>
                  </from>
                  <to>
                    <xdr:col>2</xdr:col>
                    <xdr:colOff>584200</xdr:colOff>
                    <xdr:row>17</xdr:row>
                    <xdr:rowOff>228600</xdr:rowOff>
                  </to>
                </anchor>
              </controlPr>
            </control>
          </mc:Choice>
        </mc:AlternateContent>
        <mc:AlternateContent xmlns:mc="http://schemas.openxmlformats.org/markup-compatibility/2006">
          <mc:Choice Requires="x14">
            <control shapeId="7242" r:id="rId20" name="Check Box 74">
              <controlPr defaultSize="0" autoFill="0" autoLine="0" autoPict="0">
                <anchor moveWithCells="1">
                  <from>
                    <xdr:col>2</xdr:col>
                    <xdr:colOff>279400</xdr:colOff>
                    <xdr:row>18</xdr:row>
                    <xdr:rowOff>38100</xdr:rowOff>
                  </from>
                  <to>
                    <xdr:col>2</xdr:col>
                    <xdr:colOff>584200</xdr:colOff>
                    <xdr:row>18</xdr:row>
                    <xdr:rowOff>228600</xdr:rowOff>
                  </to>
                </anchor>
              </controlPr>
            </control>
          </mc:Choice>
        </mc:AlternateContent>
        <mc:AlternateContent xmlns:mc="http://schemas.openxmlformats.org/markup-compatibility/2006">
          <mc:Choice Requires="x14">
            <control shapeId="7243" r:id="rId21" name="Check Box 75">
              <controlPr defaultSize="0" autoFill="0" autoLine="0" autoPict="0">
                <anchor moveWithCells="1">
                  <from>
                    <xdr:col>2</xdr:col>
                    <xdr:colOff>279400</xdr:colOff>
                    <xdr:row>20</xdr:row>
                    <xdr:rowOff>38100</xdr:rowOff>
                  </from>
                  <to>
                    <xdr:col>2</xdr:col>
                    <xdr:colOff>584200</xdr:colOff>
                    <xdr:row>21</xdr:row>
                    <xdr:rowOff>0</xdr:rowOff>
                  </to>
                </anchor>
              </controlPr>
            </control>
          </mc:Choice>
        </mc:AlternateContent>
        <mc:AlternateContent xmlns:mc="http://schemas.openxmlformats.org/markup-compatibility/2006">
          <mc:Choice Requires="x14">
            <control shapeId="7244" r:id="rId22" name="Check Box 76">
              <controlPr defaultSize="0" autoFill="0" autoLine="0" autoPict="0">
                <anchor moveWithCells="1">
                  <from>
                    <xdr:col>2</xdr:col>
                    <xdr:colOff>279400</xdr:colOff>
                    <xdr:row>21</xdr:row>
                    <xdr:rowOff>38100</xdr:rowOff>
                  </from>
                  <to>
                    <xdr:col>2</xdr:col>
                    <xdr:colOff>584200</xdr:colOff>
                    <xdr:row>22</xdr:row>
                    <xdr:rowOff>0</xdr:rowOff>
                  </to>
                </anchor>
              </controlPr>
            </control>
          </mc:Choice>
        </mc:AlternateContent>
        <mc:AlternateContent xmlns:mc="http://schemas.openxmlformats.org/markup-compatibility/2006">
          <mc:Choice Requires="x14">
            <control shapeId="7245" r:id="rId23" name="Check Box 77">
              <controlPr defaultSize="0" autoFill="0" autoLine="0" autoPict="0">
                <anchor moveWithCells="1">
                  <from>
                    <xdr:col>2</xdr:col>
                    <xdr:colOff>279400</xdr:colOff>
                    <xdr:row>22</xdr:row>
                    <xdr:rowOff>38100</xdr:rowOff>
                  </from>
                  <to>
                    <xdr:col>2</xdr:col>
                    <xdr:colOff>584200</xdr:colOff>
                    <xdr:row>22</xdr:row>
                    <xdr:rowOff>228600</xdr:rowOff>
                  </to>
                </anchor>
              </controlPr>
            </control>
          </mc:Choice>
        </mc:AlternateContent>
        <mc:AlternateContent xmlns:mc="http://schemas.openxmlformats.org/markup-compatibility/2006">
          <mc:Choice Requires="x14">
            <control shapeId="7246" r:id="rId24" name="Check Box 78">
              <controlPr defaultSize="0" autoFill="0" autoLine="0" autoPict="0">
                <anchor moveWithCells="1">
                  <from>
                    <xdr:col>2</xdr:col>
                    <xdr:colOff>279400</xdr:colOff>
                    <xdr:row>23</xdr:row>
                    <xdr:rowOff>38100</xdr:rowOff>
                  </from>
                  <to>
                    <xdr:col>2</xdr:col>
                    <xdr:colOff>584200</xdr:colOff>
                    <xdr:row>23</xdr:row>
                    <xdr:rowOff>228600</xdr:rowOff>
                  </to>
                </anchor>
              </controlPr>
            </control>
          </mc:Choice>
        </mc:AlternateContent>
        <mc:AlternateContent xmlns:mc="http://schemas.openxmlformats.org/markup-compatibility/2006">
          <mc:Choice Requires="x14">
            <control shapeId="7247" r:id="rId25" name="Check Box 79">
              <controlPr defaultSize="0" autoFill="0" autoLine="0" autoPict="0">
                <anchor moveWithCells="1">
                  <from>
                    <xdr:col>2</xdr:col>
                    <xdr:colOff>279400</xdr:colOff>
                    <xdr:row>24</xdr:row>
                    <xdr:rowOff>38100</xdr:rowOff>
                  </from>
                  <to>
                    <xdr:col>2</xdr:col>
                    <xdr:colOff>584200</xdr:colOff>
                    <xdr:row>24</xdr:row>
                    <xdr:rowOff>228600</xdr:rowOff>
                  </to>
                </anchor>
              </controlPr>
            </control>
          </mc:Choice>
        </mc:AlternateContent>
        <mc:AlternateContent xmlns:mc="http://schemas.openxmlformats.org/markup-compatibility/2006">
          <mc:Choice Requires="x14">
            <control shapeId="7248" r:id="rId26" name="Check Box 80">
              <controlPr defaultSize="0" autoFill="0" autoLine="0" autoPict="0">
                <anchor moveWithCells="1">
                  <from>
                    <xdr:col>2</xdr:col>
                    <xdr:colOff>279400</xdr:colOff>
                    <xdr:row>25</xdr:row>
                    <xdr:rowOff>38100</xdr:rowOff>
                  </from>
                  <to>
                    <xdr:col>2</xdr:col>
                    <xdr:colOff>584200</xdr:colOff>
                    <xdr:row>25</xdr:row>
                    <xdr:rowOff>228600</xdr:rowOff>
                  </to>
                </anchor>
              </controlPr>
            </control>
          </mc:Choice>
        </mc:AlternateContent>
        <mc:AlternateContent xmlns:mc="http://schemas.openxmlformats.org/markup-compatibility/2006">
          <mc:Choice Requires="x14">
            <control shapeId="7249" r:id="rId27" name="Check Box 81">
              <controlPr defaultSize="0" autoFill="0" autoLine="0" autoPict="0">
                <anchor moveWithCells="1">
                  <from>
                    <xdr:col>2</xdr:col>
                    <xdr:colOff>279400</xdr:colOff>
                    <xdr:row>26</xdr:row>
                    <xdr:rowOff>38100</xdr:rowOff>
                  </from>
                  <to>
                    <xdr:col>2</xdr:col>
                    <xdr:colOff>584200</xdr:colOff>
                    <xdr:row>26</xdr:row>
                    <xdr:rowOff>228600</xdr:rowOff>
                  </to>
                </anchor>
              </controlPr>
            </control>
          </mc:Choice>
        </mc:AlternateContent>
        <mc:AlternateContent xmlns:mc="http://schemas.openxmlformats.org/markup-compatibility/2006">
          <mc:Choice Requires="x14">
            <control shapeId="7250" r:id="rId28" name="Check Box 82">
              <controlPr defaultSize="0" autoFill="0" autoLine="0" autoPict="0">
                <anchor moveWithCells="1">
                  <from>
                    <xdr:col>2</xdr:col>
                    <xdr:colOff>279400</xdr:colOff>
                    <xdr:row>27</xdr:row>
                    <xdr:rowOff>38100</xdr:rowOff>
                  </from>
                  <to>
                    <xdr:col>2</xdr:col>
                    <xdr:colOff>584200</xdr:colOff>
                    <xdr:row>27</xdr:row>
                    <xdr:rowOff>228600</xdr:rowOff>
                  </to>
                </anchor>
              </controlPr>
            </control>
          </mc:Choice>
        </mc:AlternateContent>
        <mc:AlternateContent xmlns:mc="http://schemas.openxmlformats.org/markup-compatibility/2006">
          <mc:Choice Requires="x14">
            <control shapeId="7251" r:id="rId29" name="Check Box 83">
              <controlPr defaultSize="0" autoFill="0" autoLine="0" autoPict="0">
                <anchor moveWithCells="1">
                  <from>
                    <xdr:col>2</xdr:col>
                    <xdr:colOff>279400</xdr:colOff>
                    <xdr:row>28</xdr:row>
                    <xdr:rowOff>38100</xdr:rowOff>
                  </from>
                  <to>
                    <xdr:col>2</xdr:col>
                    <xdr:colOff>584200</xdr:colOff>
                    <xdr:row>28</xdr:row>
                    <xdr:rowOff>228600</xdr:rowOff>
                  </to>
                </anchor>
              </controlPr>
            </control>
          </mc:Choice>
        </mc:AlternateContent>
        <mc:AlternateContent xmlns:mc="http://schemas.openxmlformats.org/markup-compatibility/2006">
          <mc:Choice Requires="x14">
            <control shapeId="7252" r:id="rId30" name="Check Box 84">
              <controlPr defaultSize="0" autoFill="0" autoLine="0" autoPict="0">
                <anchor moveWithCells="1">
                  <from>
                    <xdr:col>2</xdr:col>
                    <xdr:colOff>279400</xdr:colOff>
                    <xdr:row>30</xdr:row>
                    <xdr:rowOff>38100</xdr:rowOff>
                  </from>
                  <to>
                    <xdr:col>2</xdr:col>
                    <xdr:colOff>584200</xdr:colOff>
                    <xdr:row>30</xdr:row>
                    <xdr:rowOff>228600</xdr:rowOff>
                  </to>
                </anchor>
              </controlPr>
            </control>
          </mc:Choice>
        </mc:AlternateContent>
        <mc:AlternateContent xmlns:mc="http://schemas.openxmlformats.org/markup-compatibility/2006">
          <mc:Choice Requires="x14">
            <control shapeId="7253" r:id="rId31" name="Check Box 85">
              <controlPr defaultSize="0" autoFill="0" autoLine="0" autoPict="0">
                <anchor moveWithCells="1">
                  <from>
                    <xdr:col>2</xdr:col>
                    <xdr:colOff>279400</xdr:colOff>
                    <xdr:row>35</xdr:row>
                    <xdr:rowOff>508000</xdr:rowOff>
                  </from>
                  <to>
                    <xdr:col>2</xdr:col>
                    <xdr:colOff>584200</xdr:colOff>
                    <xdr:row>35</xdr:row>
                    <xdr:rowOff>698500</xdr:rowOff>
                  </to>
                </anchor>
              </controlPr>
            </control>
          </mc:Choice>
        </mc:AlternateContent>
        <mc:AlternateContent xmlns:mc="http://schemas.openxmlformats.org/markup-compatibility/2006">
          <mc:Choice Requires="x14">
            <control shapeId="7254" r:id="rId32" name="Check Box 86">
              <controlPr defaultSize="0" autoFill="0" autoLine="0" autoPict="0">
                <anchor moveWithCells="1">
                  <from>
                    <xdr:col>2</xdr:col>
                    <xdr:colOff>279400</xdr:colOff>
                    <xdr:row>36</xdr:row>
                    <xdr:rowOff>571500</xdr:rowOff>
                  </from>
                  <to>
                    <xdr:col>2</xdr:col>
                    <xdr:colOff>584200</xdr:colOff>
                    <xdr:row>36</xdr:row>
                    <xdr:rowOff>762000</xdr:rowOff>
                  </to>
                </anchor>
              </controlPr>
            </control>
          </mc:Choice>
        </mc:AlternateContent>
        <mc:AlternateContent xmlns:mc="http://schemas.openxmlformats.org/markup-compatibility/2006">
          <mc:Choice Requires="x14">
            <control shapeId="7255" r:id="rId33" name="Check Box 87">
              <controlPr defaultSize="0" autoFill="0" autoLine="0" autoPict="0">
                <anchor moveWithCells="1">
                  <from>
                    <xdr:col>2</xdr:col>
                    <xdr:colOff>279400</xdr:colOff>
                    <xdr:row>37</xdr:row>
                    <xdr:rowOff>38100</xdr:rowOff>
                  </from>
                  <to>
                    <xdr:col>2</xdr:col>
                    <xdr:colOff>584200</xdr:colOff>
                    <xdr:row>38</xdr:row>
                    <xdr:rowOff>0</xdr:rowOff>
                  </to>
                </anchor>
              </controlPr>
            </control>
          </mc:Choice>
        </mc:AlternateContent>
        <mc:AlternateContent xmlns:mc="http://schemas.openxmlformats.org/markup-compatibility/2006">
          <mc:Choice Requires="x14">
            <control shapeId="7256" r:id="rId34" name="Check Box 88">
              <controlPr defaultSize="0" autoFill="0" autoLine="0" autoPict="0">
                <anchor moveWithCells="1">
                  <from>
                    <xdr:col>2</xdr:col>
                    <xdr:colOff>279400</xdr:colOff>
                    <xdr:row>31</xdr:row>
                    <xdr:rowOff>38100</xdr:rowOff>
                  </from>
                  <to>
                    <xdr:col>2</xdr:col>
                    <xdr:colOff>584200</xdr:colOff>
                    <xdr:row>32</xdr:row>
                    <xdr:rowOff>0</xdr:rowOff>
                  </to>
                </anchor>
              </controlPr>
            </control>
          </mc:Choice>
        </mc:AlternateContent>
        <mc:AlternateContent xmlns:mc="http://schemas.openxmlformats.org/markup-compatibility/2006">
          <mc:Choice Requires="x14">
            <control shapeId="7257" r:id="rId35" name="Check Box 89">
              <controlPr defaultSize="0" autoFill="0" autoLine="0" autoPict="0">
                <anchor moveWithCells="1">
                  <from>
                    <xdr:col>2</xdr:col>
                    <xdr:colOff>279400</xdr:colOff>
                    <xdr:row>32</xdr:row>
                    <xdr:rowOff>38100</xdr:rowOff>
                  </from>
                  <to>
                    <xdr:col>2</xdr:col>
                    <xdr:colOff>584200</xdr:colOff>
                    <xdr:row>33</xdr:row>
                    <xdr:rowOff>0</xdr:rowOff>
                  </to>
                </anchor>
              </controlPr>
            </control>
          </mc:Choice>
        </mc:AlternateContent>
        <mc:AlternateContent xmlns:mc="http://schemas.openxmlformats.org/markup-compatibility/2006">
          <mc:Choice Requires="x14">
            <control shapeId="7258" r:id="rId36" name="Check Box 90">
              <controlPr defaultSize="0" autoFill="0" autoLine="0" autoPict="0">
                <anchor moveWithCells="1">
                  <from>
                    <xdr:col>2</xdr:col>
                    <xdr:colOff>279400</xdr:colOff>
                    <xdr:row>33</xdr:row>
                    <xdr:rowOff>38100</xdr:rowOff>
                  </from>
                  <to>
                    <xdr:col>2</xdr:col>
                    <xdr:colOff>584200</xdr:colOff>
                    <xdr:row>34</xdr:row>
                    <xdr:rowOff>0</xdr:rowOff>
                  </to>
                </anchor>
              </controlPr>
            </control>
          </mc:Choice>
        </mc:AlternateContent>
        <mc:AlternateContent xmlns:mc="http://schemas.openxmlformats.org/markup-compatibility/2006">
          <mc:Choice Requires="x14">
            <control shapeId="7259" r:id="rId37" name="Check Box 91">
              <controlPr defaultSize="0" autoFill="0" autoLine="0" autoPict="0">
                <anchor moveWithCells="1">
                  <from>
                    <xdr:col>2</xdr:col>
                    <xdr:colOff>279400</xdr:colOff>
                    <xdr:row>34</xdr:row>
                    <xdr:rowOff>38100</xdr:rowOff>
                  </from>
                  <to>
                    <xdr:col>2</xdr:col>
                    <xdr:colOff>584200</xdr:colOff>
                    <xdr:row>35</xdr:row>
                    <xdr:rowOff>0</xdr:rowOff>
                  </to>
                </anchor>
              </controlPr>
            </control>
          </mc:Choice>
        </mc:AlternateContent>
        <mc:AlternateContent xmlns:mc="http://schemas.openxmlformats.org/markup-compatibility/2006">
          <mc:Choice Requires="x14">
            <control shapeId="7260" r:id="rId38" name="Check Box 92">
              <controlPr defaultSize="0" autoFill="0" autoLine="0" autoPict="0">
                <anchor moveWithCells="1">
                  <from>
                    <xdr:col>2</xdr:col>
                    <xdr:colOff>279400</xdr:colOff>
                    <xdr:row>38</xdr:row>
                    <xdr:rowOff>38100</xdr:rowOff>
                  </from>
                  <to>
                    <xdr:col>2</xdr:col>
                    <xdr:colOff>584200</xdr:colOff>
                    <xdr:row>39</xdr:row>
                    <xdr:rowOff>0</xdr:rowOff>
                  </to>
                </anchor>
              </controlPr>
            </control>
          </mc:Choice>
        </mc:AlternateContent>
        <mc:AlternateContent xmlns:mc="http://schemas.openxmlformats.org/markup-compatibility/2006">
          <mc:Choice Requires="x14">
            <control shapeId="7261" r:id="rId39" name="Check Box 93">
              <controlPr defaultSize="0" autoFill="0" autoLine="0" autoPict="0">
                <anchor moveWithCells="1">
                  <from>
                    <xdr:col>2</xdr:col>
                    <xdr:colOff>279400</xdr:colOff>
                    <xdr:row>39</xdr:row>
                    <xdr:rowOff>38100</xdr:rowOff>
                  </from>
                  <to>
                    <xdr:col>2</xdr:col>
                    <xdr:colOff>584200</xdr:colOff>
                    <xdr:row>40</xdr:row>
                    <xdr:rowOff>0</xdr:rowOff>
                  </to>
                </anchor>
              </controlPr>
            </control>
          </mc:Choice>
        </mc:AlternateContent>
        <mc:AlternateContent xmlns:mc="http://schemas.openxmlformats.org/markup-compatibility/2006">
          <mc:Choice Requires="x14">
            <control shapeId="7262" r:id="rId40" name="Check Box 94">
              <controlPr defaultSize="0" autoFill="0" autoLine="0" autoPict="0">
                <anchor moveWithCells="1">
                  <from>
                    <xdr:col>2</xdr:col>
                    <xdr:colOff>279400</xdr:colOff>
                    <xdr:row>40</xdr:row>
                    <xdr:rowOff>38100</xdr:rowOff>
                  </from>
                  <to>
                    <xdr:col>2</xdr:col>
                    <xdr:colOff>584200</xdr:colOff>
                    <xdr:row>41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56CBE-D1DC-1A41-9194-B88CD17DA2BA}">
  <sheetPr codeName="Sheet9"/>
  <dimension ref="A1:E21"/>
  <sheetViews>
    <sheetView zoomScale="66" zoomScaleNormal="75" workbookViewId="0">
      <selection activeCell="A19" sqref="A19"/>
    </sheetView>
  </sheetViews>
  <sheetFormatPr baseColWidth="10" defaultRowHeight="18" x14ac:dyDescent="0.2"/>
  <cols>
    <col min="1" max="1" width="15.6640625" style="1" customWidth="1"/>
    <col min="2" max="2" width="255.83203125" style="1" bestFit="1" customWidth="1"/>
    <col min="3" max="3" width="9" style="1" bestFit="1" customWidth="1"/>
    <col min="4" max="4" width="8.5" style="1" hidden="1" customWidth="1"/>
    <col min="5" max="16384" width="10.83203125" style="1"/>
  </cols>
  <sheetData>
    <row r="1" spans="1:5" x14ac:dyDescent="0.2">
      <c r="A1" s="133" t="s">
        <v>78</v>
      </c>
      <c r="B1" s="134"/>
      <c r="C1" s="135"/>
      <c r="E1" s="1" t="s">
        <v>197</v>
      </c>
    </row>
    <row r="2" spans="1:5" x14ac:dyDescent="0.2">
      <c r="A2" s="130" t="s">
        <v>73</v>
      </c>
      <c r="B2" s="131"/>
      <c r="C2" s="132"/>
    </row>
    <row r="3" spans="1:5" x14ac:dyDescent="0.2">
      <c r="A3" s="130" t="s">
        <v>74</v>
      </c>
      <c r="B3" s="131"/>
      <c r="C3" s="132"/>
      <c r="D3" s="1" t="b">
        <v>0</v>
      </c>
    </row>
    <row r="4" spans="1:5" ht="18" customHeight="1" x14ac:dyDescent="0.2">
      <c r="A4" s="3" t="s">
        <v>179</v>
      </c>
      <c r="B4" s="3" t="s">
        <v>178</v>
      </c>
      <c r="C4" s="3"/>
      <c r="E4" s="1">
        <v>81.7</v>
      </c>
    </row>
    <row r="5" spans="1:5" x14ac:dyDescent="0.2">
      <c r="A5" s="125" t="s">
        <v>75</v>
      </c>
      <c r="B5" s="125"/>
      <c r="C5" s="125"/>
    </row>
    <row r="6" spans="1:5" x14ac:dyDescent="0.2">
      <c r="A6" s="125" t="s">
        <v>76</v>
      </c>
      <c r="B6" s="125"/>
      <c r="C6" s="125"/>
    </row>
    <row r="7" spans="1:5" x14ac:dyDescent="0.2">
      <c r="A7" s="2" t="s">
        <v>176</v>
      </c>
      <c r="B7" s="2" t="s">
        <v>177</v>
      </c>
      <c r="C7" s="2"/>
      <c r="D7" s="1" t="b">
        <v>0</v>
      </c>
      <c r="E7" s="1">
        <v>67.2</v>
      </c>
    </row>
    <row r="8" spans="1:5" ht="32" customHeight="1" x14ac:dyDescent="0.2">
      <c r="A8" s="68" t="s">
        <v>266</v>
      </c>
      <c r="B8" s="5" t="s">
        <v>265</v>
      </c>
      <c r="C8" s="2"/>
      <c r="D8" s="1" t="b">
        <v>0</v>
      </c>
      <c r="E8" s="1">
        <v>41.8</v>
      </c>
    </row>
    <row r="9" spans="1:5" x14ac:dyDescent="0.2">
      <c r="A9" s="68" t="s">
        <v>636</v>
      </c>
      <c r="B9" s="1" t="s">
        <v>635</v>
      </c>
      <c r="C9" s="2"/>
      <c r="D9" s="1" t="b">
        <v>0</v>
      </c>
      <c r="E9" s="1">
        <v>59.9</v>
      </c>
    </row>
    <row r="10" spans="1:5" x14ac:dyDescent="0.2">
      <c r="A10" s="106" t="s">
        <v>77</v>
      </c>
      <c r="B10" s="107"/>
      <c r="C10" s="108"/>
    </row>
    <row r="11" spans="1:5" x14ac:dyDescent="0.2">
      <c r="A11" s="125" t="s">
        <v>81</v>
      </c>
      <c r="B11" s="125"/>
      <c r="C11" s="125"/>
    </row>
    <row r="12" spans="1:5" x14ac:dyDescent="0.2">
      <c r="A12" s="130" t="s">
        <v>82</v>
      </c>
      <c r="B12" s="131"/>
      <c r="C12" s="132"/>
    </row>
    <row r="13" spans="1:5" ht="34" customHeight="1" x14ac:dyDescent="0.2">
      <c r="A13" s="68" t="s">
        <v>272</v>
      </c>
      <c r="B13" s="5" t="s">
        <v>271</v>
      </c>
      <c r="C13" s="68"/>
      <c r="D13" s="1" t="b">
        <v>0</v>
      </c>
      <c r="E13" s="1">
        <v>85.4</v>
      </c>
    </row>
    <row r="14" spans="1:5" ht="44" customHeight="1" x14ac:dyDescent="0.2">
      <c r="A14" s="68" t="s">
        <v>460</v>
      </c>
      <c r="B14" s="5" t="s">
        <v>458</v>
      </c>
      <c r="C14" s="68"/>
      <c r="D14" s="1" t="b">
        <v>0</v>
      </c>
      <c r="E14" s="1">
        <v>78.8</v>
      </c>
    </row>
    <row r="15" spans="1:5" x14ac:dyDescent="0.2">
      <c r="A15" s="68" t="s">
        <v>601</v>
      </c>
      <c r="B15" s="2" t="s">
        <v>600</v>
      </c>
      <c r="C15" s="68"/>
      <c r="D15" s="1" t="b">
        <v>0</v>
      </c>
      <c r="E15" s="1">
        <v>51</v>
      </c>
    </row>
    <row r="16" spans="1:5" ht="38" x14ac:dyDescent="0.2">
      <c r="A16" s="68" t="s">
        <v>623</v>
      </c>
      <c r="B16" s="23" t="s">
        <v>622</v>
      </c>
      <c r="C16" s="68"/>
      <c r="D16" s="1" t="b">
        <v>0</v>
      </c>
      <c r="E16" s="1">
        <v>79.099999999999994</v>
      </c>
    </row>
    <row r="17" spans="1:5" x14ac:dyDescent="0.2">
      <c r="A17" s="68" t="s">
        <v>680</v>
      </c>
      <c r="B17" s="2" t="s">
        <v>679</v>
      </c>
      <c r="C17" s="68"/>
      <c r="D17" s="1" t="b">
        <v>0</v>
      </c>
      <c r="E17" s="1">
        <v>26</v>
      </c>
    </row>
    <row r="19" spans="1:5" x14ac:dyDescent="0.2">
      <c r="A19" s="6" t="s">
        <v>762</v>
      </c>
      <c r="B19" s="7">
        <f>COUNTA(D3:D17)</f>
        <v>9</v>
      </c>
    </row>
    <row r="20" spans="1:5" x14ac:dyDescent="0.2">
      <c r="A20" s="6" t="s">
        <v>37</v>
      </c>
      <c r="B20" s="7">
        <f>COUNTIF(D3:D17, TRUE)</f>
        <v>0</v>
      </c>
    </row>
    <row r="21" spans="1:5" x14ac:dyDescent="0.2">
      <c r="A21" s="6" t="s">
        <v>38</v>
      </c>
      <c r="B21" s="11">
        <f>(B20/B19)*100</f>
        <v>0</v>
      </c>
    </row>
  </sheetData>
  <mergeCells count="8">
    <mergeCell ref="A10:C10"/>
    <mergeCell ref="A11:C11"/>
    <mergeCell ref="A12:C12"/>
    <mergeCell ref="A1:C1"/>
    <mergeCell ref="A2:C2"/>
    <mergeCell ref="A3:C3"/>
    <mergeCell ref="A5:C5"/>
    <mergeCell ref="A6:C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32" r:id="rId3" name="Check Box 72">
              <controlPr defaultSize="0" autoFill="0" autoLine="0" autoPict="0">
                <anchor moveWithCells="1">
                  <from>
                    <xdr:col>2</xdr:col>
                    <xdr:colOff>228600</xdr:colOff>
                    <xdr:row>2</xdr:row>
                    <xdr:rowOff>228600</xdr:rowOff>
                  </from>
                  <to>
                    <xdr:col>2</xdr:col>
                    <xdr:colOff>482600</xdr:colOff>
                    <xdr:row>3</xdr:row>
                    <xdr:rowOff>215900</xdr:rowOff>
                  </to>
                </anchor>
              </controlPr>
            </control>
          </mc:Choice>
        </mc:AlternateContent>
        <mc:AlternateContent xmlns:mc="http://schemas.openxmlformats.org/markup-compatibility/2006">
          <mc:Choice Requires="x14">
            <control shapeId="15433" r:id="rId4" name="Check Box 73">
              <controlPr defaultSize="0" autoFill="0" autoLine="0" autoPict="0">
                <anchor moveWithCells="1">
                  <from>
                    <xdr:col>2</xdr:col>
                    <xdr:colOff>228600</xdr:colOff>
                    <xdr:row>6</xdr:row>
                    <xdr:rowOff>0</xdr:rowOff>
                  </from>
                  <to>
                    <xdr:col>2</xdr:col>
                    <xdr:colOff>482600</xdr:colOff>
                    <xdr:row>6</xdr:row>
                    <xdr:rowOff>215900</xdr:rowOff>
                  </to>
                </anchor>
              </controlPr>
            </control>
          </mc:Choice>
        </mc:AlternateContent>
        <mc:AlternateContent xmlns:mc="http://schemas.openxmlformats.org/markup-compatibility/2006">
          <mc:Choice Requires="x14">
            <control shapeId="15434" r:id="rId5" name="Check Box 74">
              <controlPr defaultSize="0" autoFill="0" autoLine="0" autoPict="0">
                <anchor moveWithCells="1">
                  <from>
                    <xdr:col>2</xdr:col>
                    <xdr:colOff>228600</xdr:colOff>
                    <xdr:row>7</xdr:row>
                    <xdr:rowOff>0</xdr:rowOff>
                  </from>
                  <to>
                    <xdr:col>2</xdr:col>
                    <xdr:colOff>482600</xdr:colOff>
                    <xdr:row>7</xdr:row>
                    <xdr:rowOff>215900</xdr:rowOff>
                  </to>
                </anchor>
              </controlPr>
            </control>
          </mc:Choice>
        </mc:AlternateContent>
        <mc:AlternateContent xmlns:mc="http://schemas.openxmlformats.org/markup-compatibility/2006">
          <mc:Choice Requires="x14">
            <control shapeId="15435" r:id="rId6" name="Check Box 75">
              <controlPr defaultSize="0" autoFill="0" autoLine="0" autoPict="0">
                <anchor moveWithCells="1">
                  <from>
                    <xdr:col>2</xdr:col>
                    <xdr:colOff>228600</xdr:colOff>
                    <xdr:row>8</xdr:row>
                    <xdr:rowOff>0</xdr:rowOff>
                  </from>
                  <to>
                    <xdr:col>2</xdr:col>
                    <xdr:colOff>482600</xdr:colOff>
                    <xdr:row>8</xdr:row>
                    <xdr:rowOff>215900</xdr:rowOff>
                  </to>
                </anchor>
              </controlPr>
            </control>
          </mc:Choice>
        </mc:AlternateContent>
        <mc:AlternateContent xmlns:mc="http://schemas.openxmlformats.org/markup-compatibility/2006">
          <mc:Choice Requires="x14">
            <control shapeId="15436" r:id="rId7" name="Check Box 76">
              <controlPr defaultSize="0" autoFill="0" autoLine="0" autoPict="0">
                <anchor moveWithCells="1">
                  <from>
                    <xdr:col>2</xdr:col>
                    <xdr:colOff>228600</xdr:colOff>
                    <xdr:row>12</xdr:row>
                    <xdr:rowOff>101600</xdr:rowOff>
                  </from>
                  <to>
                    <xdr:col>2</xdr:col>
                    <xdr:colOff>482600</xdr:colOff>
                    <xdr:row>12</xdr:row>
                    <xdr:rowOff>317500</xdr:rowOff>
                  </to>
                </anchor>
              </controlPr>
            </control>
          </mc:Choice>
        </mc:AlternateContent>
        <mc:AlternateContent xmlns:mc="http://schemas.openxmlformats.org/markup-compatibility/2006">
          <mc:Choice Requires="x14">
            <control shapeId="15437" r:id="rId8" name="Check Box 77">
              <controlPr defaultSize="0" autoFill="0" autoLine="0" autoPict="0">
                <anchor moveWithCells="1">
                  <from>
                    <xdr:col>2</xdr:col>
                    <xdr:colOff>228600</xdr:colOff>
                    <xdr:row>13</xdr:row>
                    <xdr:rowOff>101600</xdr:rowOff>
                  </from>
                  <to>
                    <xdr:col>2</xdr:col>
                    <xdr:colOff>482600</xdr:colOff>
                    <xdr:row>13</xdr:row>
                    <xdr:rowOff>317500</xdr:rowOff>
                  </to>
                </anchor>
              </controlPr>
            </control>
          </mc:Choice>
        </mc:AlternateContent>
        <mc:AlternateContent xmlns:mc="http://schemas.openxmlformats.org/markup-compatibility/2006">
          <mc:Choice Requires="x14">
            <control shapeId="15438" r:id="rId9" name="Check Box 78">
              <controlPr defaultSize="0" autoFill="0" autoLine="0" autoPict="0">
                <anchor moveWithCells="1">
                  <from>
                    <xdr:col>2</xdr:col>
                    <xdr:colOff>228600</xdr:colOff>
                    <xdr:row>14</xdr:row>
                    <xdr:rowOff>0</xdr:rowOff>
                  </from>
                  <to>
                    <xdr:col>2</xdr:col>
                    <xdr:colOff>482600</xdr:colOff>
                    <xdr:row>14</xdr:row>
                    <xdr:rowOff>215900</xdr:rowOff>
                  </to>
                </anchor>
              </controlPr>
            </control>
          </mc:Choice>
        </mc:AlternateContent>
        <mc:AlternateContent xmlns:mc="http://schemas.openxmlformats.org/markup-compatibility/2006">
          <mc:Choice Requires="x14">
            <control shapeId="15439" r:id="rId10" name="Check Box 79">
              <controlPr defaultSize="0" autoFill="0" autoLine="0" autoPict="0">
                <anchor moveWithCells="1">
                  <from>
                    <xdr:col>2</xdr:col>
                    <xdr:colOff>228600</xdr:colOff>
                    <xdr:row>15</xdr:row>
                    <xdr:rowOff>101600</xdr:rowOff>
                  </from>
                  <to>
                    <xdr:col>2</xdr:col>
                    <xdr:colOff>482600</xdr:colOff>
                    <xdr:row>15</xdr:row>
                    <xdr:rowOff>317500</xdr:rowOff>
                  </to>
                </anchor>
              </controlPr>
            </control>
          </mc:Choice>
        </mc:AlternateContent>
        <mc:AlternateContent xmlns:mc="http://schemas.openxmlformats.org/markup-compatibility/2006">
          <mc:Choice Requires="x14">
            <control shapeId="15440" r:id="rId11" name="Check Box 80">
              <controlPr defaultSize="0" autoFill="0" autoLine="0" autoPict="0">
                <anchor moveWithCells="1">
                  <from>
                    <xdr:col>2</xdr:col>
                    <xdr:colOff>228600</xdr:colOff>
                    <xdr:row>16</xdr:row>
                    <xdr:rowOff>25400</xdr:rowOff>
                  </from>
                  <to>
                    <xdr:col>2</xdr:col>
                    <xdr:colOff>482600</xdr:colOff>
                    <xdr:row>17</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94D4B-DC6A-7E4F-B7E2-9E3FF56CAD4F}">
  <sheetPr codeName="Sheet10"/>
  <dimension ref="A1:E21"/>
  <sheetViews>
    <sheetView zoomScale="65" zoomScaleNormal="65" workbookViewId="0">
      <selection activeCell="A19" sqref="A19"/>
    </sheetView>
  </sheetViews>
  <sheetFormatPr baseColWidth="10" defaultRowHeight="18" x14ac:dyDescent="0.2"/>
  <cols>
    <col min="1" max="1" width="15.6640625" style="51" customWidth="1"/>
    <col min="2" max="2" width="255.6640625" style="51" customWidth="1"/>
    <col min="3" max="3" width="10.33203125" style="51" customWidth="1"/>
    <col min="4" max="4" width="9" style="51" hidden="1" customWidth="1"/>
    <col min="5" max="15" width="10.83203125" style="51"/>
    <col min="16" max="16" width="12.6640625" style="51" customWidth="1"/>
    <col min="17" max="16384" width="10.83203125" style="51"/>
  </cols>
  <sheetData>
    <row r="1" spans="1:5" ht="23" x14ac:dyDescent="0.2">
      <c r="A1" s="136" t="s">
        <v>89</v>
      </c>
      <c r="B1" s="136"/>
      <c r="C1" s="136"/>
      <c r="E1" s="51" t="s">
        <v>197</v>
      </c>
    </row>
    <row r="2" spans="1:5" ht="20" x14ac:dyDescent="0.2">
      <c r="A2" s="118" t="s">
        <v>73</v>
      </c>
      <c r="B2" s="118"/>
      <c r="C2" s="118"/>
    </row>
    <row r="3" spans="1:5" x14ac:dyDescent="0.2">
      <c r="A3" s="68" t="s">
        <v>171</v>
      </c>
      <c r="B3" s="71" t="s">
        <v>172</v>
      </c>
      <c r="C3" s="68"/>
      <c r="D3" s="51" t="b">
        <v>0</v>
      </c>
      <c r="E3" s="51">
        <v>44.3</v>
      </c>
    </row>
    <row r="4" spans="1:5" ht="20" x14ac:dyDescent="0.2">
      <c r="A4" s="118" t="s">
        <v>90</v>
      </c>
      <c r="B4" s="118"/>
      <c r="C4" s="118"/>
    </row>
    <row r="5" spans="1:5" x14ac:dyDescent="0.2">
      <c r="A5" s="120" t="s">
        <v>66</v>
      </c>
      <c r="B5" s="120"/>
      <c r="C5" s="120"/>
    </row>
    <row r="6" spans="1:5" x14ac:dyDescent="0.2">
      <c r="A6" s="119" t="s">
        <v>91</v>
      </c>
      <c r="B6" s="120"/>
      <c r="C6" s="121"/>
    </row>
    <row r="7" spans="1:5" x14ac:dyDescent="0.2">
      <c r="A7" s="119" t="s">
        <v>92</v>
      </c>
      <c r="B7" s="120"/>
      <c r="C7" s="121"/>
    </row>
    <row r="8" spans="1:5" x14ac:dyDescent="0.2">
      <c r="A8" s="68" t="s">
        <v>343</v>
      </c>
      <c r="B8" s="68" t="s">
        <v>342</v>
      </c>
      <c r="C8" s="68"/>
      <c r="D8" s="51" t="b">
        <v>0</v>
      </c>
      <c r="E8" s="51">
        <v>45.9</v>
      </c>
    </row>
    <row r="9" spans="1:5" x14ac:dyDescent="0.2">
      <c r="A9" s="68" t="s">
        <v>716</v>
      </c>
      <c r="B9" s="68" t="s">
        <v>715</v>
      </c>
      <c r="C9" s="68"/>
      <c r="D9" s="51" t="b">
        <v>0</v>
      </c>
      <c r="E9" s="51">
        <v>90.6</v>
      </c>
    </row>
    <row r="10" spans="1:5" x14ac:dyDescent="0.2">
      <c r="A10" s="126" t="s">
        <v>93</v>
      </c>
      <c r="B10" s="126"/>
      <c r="C10" s="126"/>
    </row>
    <row r="11" spans="1:5" x14ac:dyDescent="0.2">
      <c r="A11" s="68" t="s">
        <v>363</v>
      </c>
      <c r="B11" s="68" t="s">
        <v>362</v>
      </c>
      <c r="C11" s="68"/>
      <c r="D11" s="51" t="b">
        <v>0</v>
      </c>
      <c r="E11" s="51">
        <v>71.099999999999994</v>
      </c>
    </row>
    <row r="12" spans="1:5" ht="19" x14ac:dyDescent="0.2">
      <c r="A12" s="68" t="s">
        <v>591</v>
      </c>
      <c r="B12" s="5" t="s">
        <v>590</v>
      </c>
      <c r="C12" s="68"/>
      <c r="D12" s="51" t="b">
        <v>0</v>
      </c>
      <c r="E12" s="51">
        <v>59.1</v>
      </c>
    </row>
    <row r="13" spans="1:5" x14ac:dyDescent="0.2">
      <c r="A13" s="126" t="s">
        <v>7</v>
      </c>
      <c r="B13" s="126"/>
      <c r="C13" s="126"/>
    </row>
    <row r="14" spans="1:5" x14ac:dyDescent="0.2">
      <c r="A14" s="68" t="s">
        <v>439</v>
      </c>
      <c r="B14" s="68" t="s">
        <v>438</v>
      </c>
      <c r="C14" s="68"/>
      <c r="D14" s="51" t="b">
        <v>0</v>
      </c>
      <c r="E14" s="51">
        <v>82.9</v>
      </c>
    </row>
    <row r="15" spans="1:5" ht="20" x14ac:dyDescent="0.2">
      <c r="A15" s="118" t="s">
        <v>94</v>
      </c>
      <c r="B15" s="118"/>
      <c r="C15" s="118"/>
    </row>
    <row r="16" spans="1:5" ht="20" x14ac:dyDescent="0.2">
      <c r="A16" s="118" t="s">
        <v>95</v>
      </c>
      <c r="B16" s="118"/>
      <c r="C16" s="118"/>
    </row>
    <row r="17" spans="1:5" ht="19" x14ac:dyDescent="0.2">
      <c r="A17" s="68" t="s">
        <v>501</v>
      </c>
      <c r="B17" s="5" t="s">
        <v>500</v>
      </c>
      <c r="C17" s="68"/>
      <c r="D17" s="51" t="b">
        <v>0</v>
      </c>
      <c r="E17" s="51">
        <v>55.3</v>
      </c>
    </row>
    <row r="19" spans="1:5" x14ac:dyDescent="0.2">
      <c r="A19" s="6" t="s">
        <v>762</v>
      </c>
      <c r="B19" s="6">
        <f>COUNTA(D3:D17)</f>
        <v>7</v>
      </c>
    </row>
    <row r="20" spans="1:5" x14ac:dyDescent="0.2">
      <c r="A20" s="6" t="s">
        <v>37</v>
      </c>
      <c r="B20" s="6">
        <f>COUNTIF(D3:D17, TRUE)</f>
        <v>0</v>
      </c>
    </row>
    <row r="21" spans="1:5" x14ac:dyDescent="0.2">
      <c r="A21" s="6" t="s">
        <v>38</v>
      </c>
      <c r="B21" s="52">
        <f>(B20/B19)*100</f>
        <v>0</v>
      </c>
    </row>
  </sheetData>
  <mergeCells count="10">
    <mergeCell ref="A15:C15"/>
    <mergeCell ref="A16:C16"/>
    <mergeCell ref="A10:C10"/>
    <mergeCell ref="A7:C7"/>
    <mergeCell ref="A13:C13"/>
    <mergeCell ref="A1:C1"/>
    <mergeCell ref="A2:C2"/>
    <mergeCell ref="A4:C4"/>
    <mergeCell ref="A5:C5"/>
    <mergeCell ref="A6:C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66" r:id="rId3" name="Check Box 82">
              <controlPr defaultSize="0" autoFill="0" autoLine="0" autoPict="0">
                <anchor moveWithCells="1">
                  <from>
                    <xdr:col>2</xdr:col>
                    <xdr:colOff>254000</xdr:colOff>
                    <xdr:row>2</xdr:row>
                    <xdr:rowOff>38100</xdr:rowOff>
                  </from>
                  <to>
                    <xdr:col>2</xdr:col>
                    <xdr:colOff>533400</xdr:colOff>
                    <xdr:row>2</xdr:row>
                    <xdr:rowOff>215900</xdr:rowOff>
                  </to>
                </anchor>
              </controlPr>
            </control>
          </mc:Choice>
        </mc:AlternateContent>
        <mc:AlternateContent xmlns:mc="http://schemas.openxmlformats.org/markup-compatibility/2006">
          <mc:Choice Requires="x14">
            <control shapeId="16467" r:id="rId4" name="Check Box 83">
              <controlPr defaultSize="0" autoFill="0" autoLine="0" autoPict="0">
                <anchor moveWithCells="1">
                  <from>
                    <xdr:col>2</xdr:col>
                    <xdr:colOff>254000</xdr:colOff>
                    <xdr:row>7</xdr:row>
                    <xdr:rowOff>38100</xdr:rowOff>
                  </from>
                  <to>
                    <xdr:col>2</xdr:col>
                    <xdr:colOff>533400</xdr:colOff>
                    <xdr:row>7</xdr:row>
                    <xdr:rowOff>215900</xdr:rowOff>
                  </to>
                </anchor>
              </controlPr>
            </control>
          </mc:Choice>
        </mc:AlternateContent>
        <mc:AlternateContent xmlns:mc="http://schemas.openxmlformats.org/markup-compatibility/2006">
          <mc:Choice Requires="x14">
            <control shapeId="16468" r:id="rId5" name="Check Box 84">
              <controlPr defaultSize="0" autoFill="0" autoLine="0" autoPict="0">
                <anchor moveWithCells="1">
                  <from>
                    <xdr:col>2</xdr:col>
                    <xdr:colOff>254000</xdr:colOff>
                    <xdr:row>8</xdr:row>
                    <xdr:rowOff>38100</xdr:rowOff>
                  </from>
                  <to>
                    <xdr:col>2</xdr:col>
                    <xdr:colOff>533400</xdr:colOff>
                    <xdr:row>8</xdr:row>
                    <xdr:rowOff>215900</xdr:rowOff>
                  </to>
                </anchor>
              </controlPr>
            </control>
          </mc:Choice>
        </mc:AlternateContent>
        <mc:AlternateContent xmlns:mc="http://schemas.openxmlformats.org/markup-compatibility/2006">
          <mc:Choice Requires="x14">
            <control shapeId="16469" r:id="rId6" name="Check Box 85">
              <controlPr defaultSize="0" autoFill="0" autoLine="0" autoPict="0">
                <anchor moveWithCells="1">
                  <from>
                    <xdr:col>2</xdr:col>
                    <xdr:colOff>254000</xdr:colOff>
                    <xdr:row>10</xdr:row>
                    <xdr:rowOff>38100</xdr:rowOff>
                  </from>
                  <to>
                    <xdr:col>2</xdr:col>
                    <xdr:colOff>533400</xdr:colOff>
                    <xdr:row>10</xdr:row>
                    <xdr:rowOff>215900</xdr:rowOff>
                  </to>
                </anchor>
              </controlPr>
            </control>
          </mc:Choice>
        </mc:AlternateContent>
        <mc:AlternateContent xmlns:mc="http://schemas.openxmlformats.org/markup-compatibility/2006">
          <mc:Choice Requires="x14">
            <control shapeId="16470" r:id="rId7" name="Check Box 86">
              <controlPr defaultSize="0" autoFill="0" autoLine="0" autoPict="0">
                <anchor moveWithCells="1">
                  <from>
                    <xdr:col>2</xdr:col>
                    <xdr:colOff>254000</xdr:colOff>
                    <xdr:row>11</xdr:row>
                    <xdr:rowOff>38100</xdr:rowOff>
                  </from>
                  <to>
                    <xdr:col>2</xdr:col>
                    <xdr:colOff>533400</xdr:colOff>
                    <xdr:row>11</xdr:row>
                    <xdr:rowOff>215900</xdr:rowOff>
                  </to>
                </anchor>
              </controlPr>
            </control>
          </mc:Choice>
        </mc:AlternateContent>
        <mc:AlternateContent xmlns:mc="http://schemas.openxmlformats.org/markup-compatibility/2006">
          <mc:Choice Requires="x14">
            <control shapeId="16471" r:id="rId8" name="Check Box 87">
              <controlPr defaultSize="0" autoFill="0" autoLine="0" autoPict="0">
                <anchor moveWithCells="1">
                  <from>
                    <xdr:col>2</xdr:col>
                    <xdr:colOff>254000</xdr:colOff>
                    <xdr:row>13</xdr:row>
                    <xdr:rowOff>38100</xdr:rowOff>
                  </from>
                  <to>
                    <xdr:col>2</xdr:col>
                    <xdr:colOff>533400</xdr:colOff>
                    <xdr:row>13</xdr:row>
                    <xdr:rowOff>215900</xdr:rowOff>
                  </to>
                </anchor>
              </controlPr>
            </control>
          </mc:Choice>
        </mc:AlternateContent>
        <mc:AlternateContent xmlns:mc="http://schemas.openxmlformats.org/markup-compatibility/2006">
          <mc:Choice Requires="x14">
            <control shapeId="16472" r:id="rId9" name="Check Box 88">
              <controlPr defaultSize="0" autoFill="0" autoLine="0" autoPict="0">
                <anchor moveWithCells="1">
                  <from>
                    <xdr:col>2</xdr:col>
                    <xdr:colOff>254000</xdr:colOff>
                    <xdr:row>16</xdr:row>
                    <xdr:rowOff>38100</xdr:rowOff>
                  </from>
                  <to>
                    <xdr:col>2</xdr:col>
                    <xdr:colOff>533400</xdr:colOff>
                    <xdr:row>16</xdr:row>
                    <xdr:rowOff>215900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7DCD4-755E-3C46-87DF-55A4B2185D90}">
  <sheetPr codeName="Sheet11"/>
  <dimension ref="A1:E12"/>
  <sheetViews>
    <sheetView zoomScale="61" zoomScaleNormal="75" workbookViewId="0">
      <selection activeCell="A10" sqref="A10"/>
    </sheetView>
  </sheetViews>
  <sheetFormatPr baseColWidth="10" defaultRowHeight="16" x14ac:dyDescent="0.2"/>
  <cols>
    <col min="1" max="1" width="13.33203125" style="28" bestFit="1" customWidth="1"/>
    <col min="2" max="2" width="255.6640625" style="28" customWidth="1"/>
    <col min="3" max="3" width="10.83203125" style="28" customWidth="1"/>
    <col min="4" max="4" width="7.33203125" style="28" hidden="1" customWidth="1"/>
    <col min="5" max="16384" width="10.83203125" style="28"/>
  </cols>
  <sheetData>
    <row r="1" spans="1:5" ht="23" x14ac:dyDescent="0.25">
      <c r="A1" s="128" t="s">
        <v>97</v>
      </c>
      <c r="B1" s="128"/>
      <c r="C1" s="128"/>
      <c r="E1" s="28" t="s">
        <v>197</v>
      </c>
    </row>
    <row r="2" spans="1:5" ht="20" x14ac:dyDescent="0.2">
      <c r="A2" s="137" t="s">
        <v>64</v>
      </c>
      <c r="B2" s="137"/>
      <c r="C2" s="137"/>
    </row>
    <row r="3" spans="1:5" ht="18" customHeight="1" x14ac:dyDescent="0.2">
      <c r="A3" s="39" t="s">
        <v>301</v>
      </c>
      <c r="B3" s="2" t="s">
        <v>300</v>
      </c>
      <c r="C3" s="3"/>
      <c r="D3" s="28" t="b">
        <v>0</v>
      </c>
      <c r="E3" s="28">
        <v>64.400000000000006</v>
      </c>
    </row>
    <row r="4" spans="1:5" ht="18" customHeight="1" x14ac:dyDescent="0.2">
      <c r="A4" s="39" t="s">
        <v>347</v>
      </c>
      <c r="B4" s="2" t="s">
        <v>346</v>
      </c>
      <c r="C4" s="3"/>
      <c r="D4" s="28" t="b">
        <v>0</v>
      </c>
      <c r="E4" s="28">
        <v>75</v>
      </c>
    </row>
    <row r="5" spans="1:5" ht="18" x14ac:dyDescent="0.2">
      <c r="A5" s="39" t="s">
        <v>514</v>
      </c>
      <c r="B5" s="2" t="s">
        <v>513</v>
      </c>
      <c r="C5" s="3"/>
      <c r="D5" s="28" t="b">
        <v>0</v>
      </c>
      <c r="E5" s="28">
        <v>96.8</v>
      </c>
    </row>
    <row r="6" spans="1:5" ht="18" x14ac:dyDescent="0.2">
      <c r="A6" s="112" t="s">
        <v>98</v>
      </c>
      <c r="B6" s="112"/>
      <c r="C6" s="112"/>
    </row>
    <row r="7" spans="1:5" ht="18" x14ac:dyDescent="0.2">
      <c r="A7" s="39" t="s">
        <v>191</v>
      </c>
      <c r="B7" s="2" t="s">
        <v>190</v>
      </c>
      <c r="C7" s="44"/>
      <c r="D7" s="28" t="b">
        <v>0</v>
      </c>
      <c r="E7" s="28">
        <v>62.6</v>
      </c>
    </row>
    <row r="8" spans="1:5" ht="18" x14ac:dyDescent="0.2">
      <c r="A8" s="39" t="s">
        <v>296</v>
      </c>
      <c r="B8" s="2" t="s">
        <v>295</v>
      </c>
      <c r="C8" s="44"/>
      <c r="D8" s="28" t="b">
        <v>0</v>
      </c>
      <c r="E8" s="28">
        <v>36.200000000000003</v>
      </c>
    </row>
    <row r="10" spans="1:5" ht="18" x14ac:dyDescent="0.2">
      <c r="A10" s="6" t="s">
        <v>762</v>
      </c>
      <c r="B10" s="7">
        <f>COUNTA(D3:D8)</f>
        <v>5</v>
      </c>
    </row>
    <row r="11" spans="1:5" ht="18" x14ac:dyDescent="0.2">
      <c r="A11" s="6" t="s">
        <v>37</v>
      </c>
      <c r="B11" s="7">
        <f>COUNTIF(D3:D8, TRUE)</f>
        <v>0</v>
      </c>
    </row>
    <row r="12" spans="1:5" ht="18" x14ac:dyDescent="0.2">
      <c r="A12" s="6" t="s">
        <v>38</v>
      </c>
      <c r="B12" s="11">
        <f>(B11/B10)*100</f>
        <v>0</v>
      </c>
    </row>
  </sheetData>
  <mergeCells count="3">
    <mergeCell ref="A1:C1"/>
    <mergeCell ref="A2:C2"/>
    <mergeCell ref="A6:C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58" r:id="rId3" name="Check Box 26">
              <controlPr defaultSize="0" autoFill="0" autoLine="0" autoPict="0">
                <anchor moveWithCells="1">
                  <from>
                    <xdr:col>2</xdr:col>
                    <xdr:colOff>317500</xdr:colOff>
                    <xdr:row>2</xdr:row>
                    <xdr:rowOff>25400</xdr:rowOff>
                  </from>
                  <to>
                    <xdr:col>2</xdr:col>
                    <xdr:colOff>584200</xdr:colOff>
                    <xdr:row>2</xdr:row>
                    <xdr:rowOff>190500</xdr:rowOff>
                  </to>
                </anchor>
              </controlPr>
            </control>
          </mc:Choice>
        </mc:AlternateContent>
        <mc:AlternateContent xmlns:mc="http://schemas.openxmlformats.org/markup-compatibility/2006">
          <mc:Choice Requires="x14">
            <control shapeId="18459" r:id="rId4" name="Check Box 27">
              <controlPr defaultSize="0" autoFill="0" autoLine="0" autoPict="0">
                <anchor moveWithCells="1">
                  <from>
                    <xdr:col>2</xdr:col>
                    <xdr:colOff>317500</xdr:colOff>
                    <xdr:row>3</xdr:row>
                    <xdr:rowOff>25400</xdr:rowOff>
                  </from>
                  <to>
                    <xdr:col>2</xdr:col>
                    <xdr:colOff>584200</xdr:colOff>
                    <xdr:row>3</xdr:row>
                    <xdr:rowOff>190500</xdr:rowOff>
                  </to>
                </anchor>
              </controlPr>
            </control>
          </mc:Choice>
        </mc:AlternateContent>
        <mc:AlternateContent xmlns:mc="http://schemas.openxmlformats.org/markup-compatibility/2006">
          <mc:Choice Requires="x14">
            <control shapeId="18460" r:id="rId5" name="Check Box 28">
              <controlPr defaultSize="0" autoFill="0" autoLine="0" autoPict="0">
                <anchor moveWithCells="1">
                  <from>
                    <xdr:col>2</xdr:col>
                    <xdr:colOff>317500</xdr:colOff>
                    <xdr:row>4</xdr:row>
                    <xdr:rowOff>25400</xdr:rowOff>
                  </from>
                  <to>
                    <xdr:col>2</xdr:col>
                    <xdr:colOff>584200</xdr:colOff>
                    <xdr:row>4</xdr:row>
                    <xdr:rowOff>190500</xdr:rowOff>
                  </to>
                </anchor>
              </controlPr>
            </control>
          </mc:Choice>
        </mc:AlternateContent>
        <mc:AlternateContent xmlns:mc="http://schemas.openxmlformats.org/markup-compatibility/2006">
          <mc:Choice Requires="x14">
            <control shapeId="18461" r:id="rId6" name="Check Box 29">
              <controlPr defaultSize="0" autoFill="0" autoLine="0" autoPict="0">
                <anchor moveWithCells="1">
                  <from>
                    <xdr:col>2</xdr:col>
                    <xdr:colOff>317500</xdr:colOff>
                    <xdr:row>6</xdr:row>
                    <xdr:rowOff>25400</xdr:rowOff>
                  </from>
                  <to>
                    <xdr:col>2</xdr:col>
                    <xdr:colOff>584200</xdr:colOff>
                    <xdr:row>6</xdr:row>
                    <xdr:rowOff>190500</xdr:rowOff>
                  </to>
                </anchor>
              </controlPr>
            </control>
          </mc:Choice>
        </mc:AlternateContent>
        <mc:AlternateContent xmlns:mc="http://schemas.openxmlformats.org/markup-compatibility/2006">
          <mc:Choice Requires="x14">
            <control shapeId="18462" r:id="rId7" name="Check Box 30">
              <controlPr defaultSize="0" autoFill="0" autoLine="0" autoPict="0">
                <anchor moveWithCells="1">
                  <from>
                    <xdr:col>2</xdr:col>
                    <xdr:colOff>317500</xdr:colOff>
                    <xdr:row>7</xdr:row>
                    <xdr:rowOff>25400</xdr:rowOff>
                  </from>
                  <to>
                    <xdr:col>2</xdr:col>
                    <xdr:colOff>584200</xdr:colOff>
                    <xdr:row>7</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EA67B-6B9A-6540-A501-A69726737BC5}">
  <sheetPr codeName="Sheet12"/>
  <dimension ref="A1:E14"/>
  <sheetViews>
    <sheetView zoomScale="60" zoomScaleNormal="60" workbookViewId="0">
      <selection activeCell="A12" sqref="A12"/>
    </sheetView>
  </sheetViews>
  <sheetFormatPr baseColWidth="10" defaultRowHeight="18" x14ac:dyDescent="0.2"/>
  <cols>
    <col min="1" max="1" width="15" bestFit="1" customWidth="1"/>
    <col min="2" max="2" width="255.6640625" customWidth="1"/>
    <col min="4" max="4" width="9" style="1" hidden="1" customWidth="1"/>
  </cols>
  <sheetData>
    <row r="1" spans="1:5" ht="23" x14ac:dyDescent="0.25">
      <c r="A1" s="128" t="s">
        <v>101</v>
      </c>
      <c r="B1" s="128"/>
      <c r="C1" s="128"/>
      <c r="E1" t="s">
        <v>197</v>
      </c>
    </row>
    <row r="2" spans="1:5" ht="20" x14ac:dyDescent="0.2">
      <c r="A2" s="118" t="s">
        <v>100</v>
      </c>
      <c r="B2" s="118"/>
      <c r="C2" s="118"/>
    </row>
    <row r="3" spans="1:5" x14ac:dyDescent="0.2">
      <c r="A3" s="2" t="s">
        <v>199</v>
      </c>
      <c r="B3" s="2" t="s">
        <v>198</v>
      </c>
      <c r="C3" s="2"/>
      <c r="D3" s="1" t="b">
        <v>0</v>
      </c>
      <c r="E3">
        <v>62</v>
      </c>
    </row>
    <row r="4" spans="1:5" x14ac:dyDescent="0.2">
      <c r="A4" s="39" t="s">
        <v>225</v>
      </c>
      <c r="B4" s="2" t="s">
        <v>224</v>
      </c>
      <c r="C4" s="2"/>
      <c r="D4" s="1" t="b">
        <v>0</v>
      </c>
      <c r="E4">
        <v>64.900000000000006</v>
      </c>
    </row>
    <row r="5" spans="1:5" x14ac:dyDescent="0.2">
      <c r="A5" s="39" t="s">
        <v>495</v>
      </c>
      <c r="B5" s="2" t="s">
        <v>494</v>
      </c>
      <c r="C5" s="2"/>
      <c r="D5" s="1" t="b">
        <v>0</v>
      </c>
      <c r="E5">
        <v>80.7</v>
      </c>
    </row>
    <row r="6" spans="1:5" x14ac:dyDescent="0.2">
      <c r="A6" s="39" t="s">
        <v>612</v>
      </c>
      <c r="B6" s="2" t="s">
        <v>610</v>
      </c>
      <c r="C6" s="2"/>
      <c r="D6" s="1" t="b">
        <v>0</v>
      </c>
      <c r="E6">
        <v>69.8</v>
      </c>
    </row>
    <row r="7" spans="1:5" ht="38" x14ac:dyDescent="0.2">
      <c r="A7" s="39" t="s">
        <v>601</v>
      </c>
      <c r="B7" s="23" t="s">
        <v>630</v>
      </c>
      <c r="C7" s="2"/>
      <c r="D7" s="1" t="b">
        <v>0</v>
      </c>
      <c r="E7">
        <v>84.1</v>
      </c>
    </row>
    <row r="8" spans="1:5" x14ac:dyDescent="0.2">
      <c r="A8" s="125" t="s">
        <v>102</v>
      </c>
      <c r="B8" s="125"/>
      <c r="C8" s="125"/>
    </row>
    <row r="9" spans="1:5" x14ac:dyDescent="0.2">
      <c r="A9" s="112" t="s">
        <v>103</v>
      </c>
      <c r="B9" s="112"/>
      <c r="C9" s="112"/>
    </row>
    <row r="10" spans="1:5" x14ac:dyDescent="0.2">
      <c r="A10" s="2" t="s">
        <v>399</v>
      </c>
      <c r="B10" s="2" t="s">
        <v>398</v>
      </c>
      <c r="C10" s="2"/>
      <c r="D10" s="1" t="b">
        <v>0</v>
      </c>
      <c r="E10">
        <v>58</v>
      </c>
    </row>
    <row r="12" spans="1:5" x14ac:dyDescent="0.2">
      <c r="A12" s="6" t="s">
        <v>762</v>
      </c>
      <c r="B12" s="7">
        <f>COUNTA(D3:D10)</f>
        <v>6</v>
      </c>
    </row>
    <row r="13" spans="1:5" x14ac:dyDescent="0.2">
      <c r="A13" s="6" t="s">
        <v>37</v>
      </c>
      <c r="B13" s="7">
        <f>COUNTIF(D3:D10, TRUE)</f>
        <v>0</v>
      </c>
    </row>
    <row r="14" spans="1:5" x14ac:dyDescent="0.2">
      <c r="A14" s="6" t="s">
        <v>38</v>
      </c>
      <c r="B14" s="11">
        <f>(B13/B12)*100</f>
        <v>0</v>
      </c>
    </row>
  </sheetData>
  <mergeCells count="4">
    <mergeCell ref="A1:C1"/>
    <mergeCell ref="A8:C8"/>
    <mergeCell ref="A9:C9"/>
    <mergeCell ref="A2:C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94" r:id="rId3" name="Check Box 38">
              <controlPr defaultSize="0" autoFill="0" autoLine="0" autoPict="0">
                <anchor moveWithCells="1">
                  <from>
                    <xdr:col>2</xdr:col>
                    <xdr:colOff>254000</xdr:colOff>
                    <xdr:row>2</xdr:row>
                    <xdr:rowOff>25400</xdr:rowOff>
                  </from>
                  <to>
                    <xdr:col>2</xdr:col>
                    <xdr:colOff>673100</xdr:colOff>
                    <xdr:row>2</xdr:row>
                    <xdr:rowOff>215900</xdr:rowOff>
                  </to>
                </anchor>
              </controlPr>
            </control>
          </mc:Choice>
        </mc:AlternateContent>
        <mc:AlternateContent xmlns:mc="http://schemas.openxmlformats.org/markup-compatibility/2006">
          <mc:Choice Requires="x14">
            <control shapeId="19495" r:id="rId4" name="Check Box 39">
              <controlPr defaultSize="0" autoFill="0" autoLine="0" autoPict="0">
                <anchor moveWithCells="1">
                  <from>
                    <xdr:col>2</xdr:col>
                    <xdr:colOff>254000</xdr:colOff>
                    <xdr:row>3</xdr:row>
                    <xdr:rowOff>25400</xdr:rowOff>
                  </from>
                  <to>
                    <xdr:col>2</xdr:col>
                    <xdr:colOff>673100</xdr:colOff>
                    <xdr:row>3</xdr:row>
                    <xdr:rowOff>215900</xdr:rowOff>
                  </to>
                </anchor>
              </controlPr>
            </control>
          </mc:Choice>
        </mc:AlternateContent>
        <mc:AlternateContent xmlns:mc="http://schemas.openxmlformats.org/markup-compatibility/2006">
          <mc:Choice Requires="x14">
            <control shapeId="19496" r:id="rId5" name="Check Box 40">
              <controlPr defaultSize="0" autoFill="0" autoLine="0" autoPict="0">
                <anchor moveWithCells="1">
                  <from>
                    <xdr:col>2</xdr:col>
                    <xdr:colOff>254000</xdr:colOff>
                    <xdr:row>4</xdr:row>
                    <xdr:rowOff>25400</xdr:rowOff>
                  </from>
                  <to>
                    <xdr:col>2</xdr:col>
                    <xdr:colOff>673100</xdr:colOff>
                    <xdr:row>4</xdr:row>
                    <xdr:rowOff>215900</xdr:rowOff>
                  </to>
                </anchor>
              </controlPr>
            </control>
          </mc:Choice>
        </mc:AlternateContent>
        <mc:AlternateContent xmlns:mc="http://schemas.openxmlformats.org/markup-compatibility/2006">
          <mc:Choice Requires="x14">
            <control shapeId="19497" r:id="rId6" name="Check Box 41">
              <controlPr defaultSize="0" autoFill="0" autoLine="0" autoPict="0">
                <anchor moveWithCells="1">
                  <from>
                    <xdr:col>2</xdr:col>
                    <xdr:colOff>254000</xdr:colOff>
                    <xdr:row>5</xdr:row>
                    <xdr:rowOff>25400</xdr:rowOff>
                  </from>
                  <to>
                    <xdr:col>2</xdr:col>
                    <xdr:colOff>673100</xdr:colOff>
                    <xdr:row>5</xdr:row>
                    <xdr:rowOff>215900</xdr:rowOff>
                  </to>
                </anchor>
              </controlPr>
            </control>
          </mc:Choice>
        </mc:AlternateContent>
        <mc:AlternateContent xmlns:mc="http://schemas.openxmlformats.org/markup-compatibility/2006">
          <mc:Choice Requires="x14">
            <control shapeId="19498" r:id="rId7" name="Check Box 42">
              <controlPr defaultSize="0" autoFill="0" autoLine="0" autoPict="0">
                <anchor moveWithCells="1">
                  <from>
                    <xdr:col>2</xdr:col>
                    <xdr:colOff>254000</xdr:colOff>
                    <xdr:row>6</xdr:row>
                    <xdr:rowOff>25400</xdr:rowOff>
                  </from>
                  <to>
                    <xdr:col>2</xdr:col>
                    <xdr:colOff>673100</xdr:colOff>
                    <xdr:row>6</xdr:row>
                    <xdr:rowOff>215900</xdr:rowOff>
                  </to>
                </anchor>
              </controlPr>
            </control>
          </mc:Choice>
        </mc:AlternateContent>
        <mc:AlternateContent xmlns:mc="http://schemas.openxmlformats.org/markup-compatibility/2006">
          <mc:Choice Requires="x14">
            <control shapeId="19499" r:id="rId8" name="Check Box 43">
              <controlPr defaultSize="0" autoFill="0" autoLine="0" autoPict="0">
                <anchor moveWithCells="1">
                  <from>
                    <xdr:col>2</xdr:col>
                    <xdr:colOff>279400</xdr:colOff>
                    <xdr:row>9</xdr:row>
                    <xdr:rowOff>0</xdr:rowOff>
                  </from>
                  <to>
                    <xdr:col>2</xdr:col>
                    <xdr:colOff>698500</xdr:colOff>
                    <xdr:row>9</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D3F73-B204-634F-BD08-E5705BB71A7B}">
  <sheetPr codeName="Sheet13"/>
  <dimension ref="A1:E35"/>
  <sheetViews>
    <sheetView zoomScale="70" zoomScaleNormal="70" workbookViewId="0">
      <selection activeCell="A24" sqref="A24"/>
    </sheetView>
  </sheetViews>
  <sheetFormatPr baseColWidth="10" defaultRowHeight="16" x14ac:dyDescent="0.2"/>
  <cols>
    <col min="1" max="1" width="14.1640625" style="28" bestFit="1" customWidth="1"/>
    <col min="2" max="2" width="255.6640625" style="28" customWidth="1"/>
    <col min="3" max="3" width="10.83203125" style="28"/>
    <col min="4" max="4" width="7.5" style="28" hidden="1" customWidth="1"/>
    <col min="5" max="16384" width="10.83203125" style="28"/>
  </cols>
  <sheetData>
    <row r="1" spans="1:5" ht="23" x14ac:dyDescent="0.25">
      <c r="A1" s="128" t="s">
        <v>113</v>
      </c>
      <c r="B1" s="128"/>
      <c r="C1" s="128"/>
      <c r="E1" s="28" t="s">
        <v>197</v>
      </c>
    </row>
    <row r="2" spans="1:5" ht="20" x14ac:dyDescent="0.2">
      <c r="A2" s="137" t="s">
        <v>115</v>
      </c>
      <c r="B2" s="137"/>
      <c r="C2" s="137"/>
    </row>
    <row r="3" spans="1:5" ht="18" x14ac:dyDescent="0.2">
      <c r="A3" s="2" t="s">
        <v>397</v>
      </c>
      <c r="B3" s="2" t="s">
        <v>396</v>
      </c>
      <c r="C3" s="2"/>
      <c r="D3" s="28" t="b">
        <v>0</v>
      </c>
      <c r="E3" s="28">
        <v>25</v>
      </c>
    </row>
    <row r="4" spans="1:5" ht="18" x14ac:dyDescent="0.2">
      <c r="A4" s="2" t="s">
        <v>599</v>
      </c>
      <c r="B4" s="2" t="s">
        <v>598</v>
      </c>
      <c r="C4" s="2"/>
      <c r="D4" s="28" t="b">
        <v>0</v>
      </c>
      <c r="E4" s="28">
        <v>34.9</v>
      </c>
    </row>
    <row r="5" spans="1:5" ht="18" x14ac:dyDescent="0.2">
      <c r="A5" s="112" t="s">
        <v>116</v>
      </c>
      <c r="B5" s="112"/>
      <c r="C5" s="112"/>
    </row>
    <row r="6" spans="1:5" ht="18" x14ac:dyDescent="0.2">
      <c r="A6" s="125" t="s">
        <v>117</v>
      </c>
      <c r="B6" s="125"/>
      <c r="C6" s="125"/>
    </row>
    <row r="7" spans="1:5" ht="18" x14ac:dyDescent="0.2">
      <c r="A7" s="119" t="s">
        <v>15</v>
      </c>
      <c r="B7" s="120"/>
      <c r="C7" s="121"/>
    </row>
    <row r="8" spans="1:5" ht="18" x14ac:dyDescent="0.2">
      <c r="A8" s="119" t="s">
        <v>119</v>
      </c>
      <c r="B8" s="120"/>
      <c r="C8" s="121"/>
    </row>
    <row r="9" spans="1:5" ht="18" x14ac:dyDescent="0.2">
      <c r="A9" s="112" t="s">
        <v>118</v>
      </c>
      <c r="B9" s="112"/>
      <c r="C9" s="112"/>
    </row>
    <row r="10" spans="1:5" ht="18" x14ac:dyDescent="0.2">
      <c r="A10" s="2" t="s">
        <v>315</v>
      </c>
      <c r="B10" s="25" t="s">
        <v>314</v>
      </c>
      <c r="C10" s="2"/>
      <c r="D10" s="28" t="b">
        <v>0</v>
      </c>
      <c r="E10" s="28">
        <v>25.2</v>
      </c>
    </row>
    <row r="11" spans="1:5" ht="18" x14ac:dyDescent="0.2">
      <c r="A11" s="2" t="s">
        <v>317</v>
      </c>
      <c r="B11" s="25" t="s">
        <v>316</v>
      </c>
      <c r="C11" s="2"/>
      <c r="D11" s="28" t="b">
        <v>0</v>
      </c>
      <c r="E11" s="28">
        <v>14.6</v>
      </c>
    </row>
    <row r="12" spans="1:5" ht="18" x14ac:dyDescent="0.2">
      <c r="A12" s="2" t="s">
        <v>554</v>
      </c>
      <c r="B12" s="25" t="s">
        <v>553</v>
      </c>
      <c r="C12" s="2"/>
      <c r="D12" s="28" t="b">
        <v>0</v>
      </c>
      <c r="E12" s="28">
        <v>28</v>
      </c>
    </row>
    <row r="13" spans="1:5" ht="18" x14ac:dyDescent="0.2">
      <c r="A13" s="138" t="s">
        <v>105</v>
      </c>
      <c r="B13" s="138"/>
      <c r="C13" s="138"/>
    </row>
    <row r="14" spans="1:5" ht="18" x14ac:dyDescent="0.2">
      <c r="A14" s="2" t="s">
        <v>180</v>
      </c>
      <c r="B14" s="2" t="s">
        <v>181</v>
      </c>
      <c r="C14" s="2"/>
      <c r="D14" s="28" t="b">
        <v>0</v>
      </c>
      <c r="E14" s="28">
        <v>22.9</v>
      </c>
    </row>
    <row r="15" spans="1:5" ht="18" x14ac:dyDescent="0.2">
      <c r="A15" s="112" t="s">
        <v>106</v>
      </c>
      <c r="B15" s="112"/>
      <c r="C15" s="112"/>
    </row>
    <row r="16" spans="1:5" ht="18" x14ac:dyDescent="0.2">
      <c r="A16" s="112" t="s">
        <v>107</v>
      </c>
      <c r="B16" s="112"/>
      <c r="C16" s="112"/>
    </row>
    <row r="17" spans="1:5" ht="18" x14ac:dyDescent="0.2">
      <c r="A17" s="125" t="s">
        <v>108</v>
      </c>
      <c r="B17" s="125"/>
      <c r="C17" s="125"/>
    </row>
    <row r="18" spans="1:5" ht="18" x14ac:dyDescent="0.2">
      <c r="A18" s="2" t="s">
        <v>629</v>
      </c>
      <c r="B18" s="2" t="s">
        <v>628</v>
      </c>
      <c r="C18" s="2"/>
      <c r="D18" s="28" t="b">
        <v>0</v>
      </c>
      <c r="E18" s="28">
        <v>64.8</v>
      </c>
    </row>
    <row r="19" spans="1:5" ht="18" x14ac:dyDescent="0.2">
      <c r="A19" s="125" t="s">
        <v>109</v>
      </c>
      <c r="B19" s="125"/>
      <c r="C19" s="125"/>
    </row>
    <row r="20" spans="1:5" ht="18" x14ac:dyDescent="0.2">
      <c r="A20" s="125" t="s">
        <v>110</v>
      </c>
      <c r="B20" s="125"/>
      <c r="C20" s="125"/>
    </row>
    <row r="21" spans="1:5" ht="18" x14ac:dyDescent="0.2">
      <c r="A21" s="125" t="s">
        <v>111</v>
      </c>
      <c r="B21" s="125"/>
      <c r="C21" s="125"/>
    </row>
    <row r="22" spans="1:5" ht="18" x14ac:dyDescent="0.2">
      <c r="A22" s="112" t="s">
        <v>112</v>
      </c>
      <c r="B22" s="112"/>
      <c r="C22" s="112"/>
    </row>
    <row r="24" spans="1:5" ht="18" x14ac:dyDescent="0.2">
      <c r="A24" s="6" t="s">
        <v>762</v>
      </c>
      <c r="B24" s="31">
        <f>COUNTA(D3:D22)</f>
        <v>7</v>
      </c>
    </row>
    <row r="25" spans="1:5" ht="18" x14ac:dyDescent="0.2">
      <c r="A25" s="6" t="s">
        <v>37</v>
      </c>
      <c r="B25" s="31">
        <f>COUNTIF(D3:D22, TRUE)</f>
        <v>0</v>
      </c>
    </row>
    <row r="26" spans="1:5" ht="18" x14ac:dyDescent="0.2">
      <c r="A26" s="6" t="s">
        <v>38</v>
      </c>
      <c r="B26" s="32">
        <f>(B25/B24)*100</f>
        <v>0</v>
      </c>
    </row>
    <row r="35" spans="2:2" x14ac:dyDescent="0.2">
      <c r="B35" s="30" t="s">
        <v>114</v>
      </c>
    </row>
  </sheetData>
  <mergeCells count="15">
    <mergeCell ref="A22:C22"/>
    <mergeCell ref="A20:C20"/>
    <mergeCell ref="A21:C21"/>
    <mergeCell ref="A16:C16"/>
    <mergeCell ref="A17:C17"/>
    <mergeCell ref="A19:C19"/>
    <mergeCell ref="A13:C13"/>
    <mergeCell ref="A15:C15"/>
    <mergeCell ref="A7:C7"/>
    <mergeCell ref="A8:C8"/>
    <mergeCell ref="A1:C1"/>
    <mergeCell ref="A2:C2"/>
    <mergeCell ref="A5:C5"/>
    <mergeCell ref="A6:C6"/>
    <mergeCell ref="A9:C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92" r:id="rId3" name="Check Box 112">
              <controlPr defaultSize="0" autoFill="0" autoLine="0" autoPict="0">
                <anchor moveWithCells="1">
                  <from>
                    <xdr:col>2</xdr:col>
                    <xdr:colOff>330200</xdr:colOff>
                    <xdr:row>2</xdr:row>
                    <xdr:rowOff>63500</xdr:rowOff>
                  </from>
                  <to>
                    <xdr:col>2</xdr:col>
                    <xdr:colOff>571500</xdr:colOff>
                    <xdr:row>2</xdr:row>
                    <xdr:rowOff>228600</xdr:rowOff>
                  </to>
                </anchor>
              </controlPr>
            </control>
          </mc:Choice>
        </mc:AlternateContent>
        <mc:AlternateContent xmlns:mc="http://schemas.openxmlformats.org/markup-compatibility/2006">
          <mc:Choice Requires="x14">
            <control shapeId="20593" r:id="rId4" name="Check Box 113">
              <controlPr defaultSize="0" autoFill="0" autoLine="0" autoPict="0">
                <anchor moveWithCells="1">
                  <from>
                    <xdr:col>2</xdr:col>
                    <xdr:colOff>330200</xdr:colOff>
                    <xdr:row>3</xdr:row>
                    <xdr:rowOff>63500</xdr:rowOff>
                  </from>
                  <to>
                    <xdr:col>2</xdr:col>
                    <xdr:colOff>571500</xdr:colOff>
                    <xdr:row>3</xdr:row>
                    <xdr:rowOff>228600</xdr:rowOff>
                  </to>
                </anchor>
              </controlPr>
            </control>
          </mc:Choice>
        </mc:AlternateContent>
        <mc:AlternateContent xmlns:mc="http://schemas.openxmlformats.org/markup-compatibility/2006">
          <mc:Choice Requires="x14">
            <control shapeId="20594" r:id="rId5" name="Check Box 114">
              <controlPr defaultSize="0" autoFill="0" autoLine="0" autoPict="0">
                <anchor moveWithCells="1">
                  <from>
                    <xdr:col>2</xdr:col>
                    <xdr:colOff>330200</xdr:colOff>
                    <xdr:row>9</xdr:row>
                    <xdr:rowOff>63500</xdr:rowOff>
                  </from>
                  <to>
                    <xdr:col>2</xdr:col>
                    <xdr:colOff>571500</xdr:colOff>
                    <xdr:row>10</xdr:row>
                    <xdr:rowOff>0</xdr:rowOff>
                  </to>
                </anchor>
              </controlPr>
            </control>
          </mc:Choice>
        </mc:AlternateContent>
        <mc:AlternateContent xmlns:mc="http://schemas.openxmlformats.org/markup-compatibility/2006">
          <mc:Choice Requires="x14">
            <control shapeId="20595" r:id="rId6" name="Check Box 115">
              <controlPr defaultSize="0" autoFill="0" autoLine="0" autoPict="0">
                <anchor moveWithCells="1">
                  <from>
                    <xdr:col>2</xdr:col>
                    <xdr:colOff>330200</xdr:colOff>
                    <xdr:row>10</xdr:row>
                    <xdr:rowOff>63500</xdr:rowOff>
                  </from>
                  <to>
                    <xdr:col>2</xdr:col>
                    <xdr:colOff>571500</xdr:colOff>
                    <xdr:row>11</xdr:row>
                    <xdr:rowOff>0</xdr:rowOff>
                  </to>
                </anchor>
              </controlPr>
            </control>
          </mc:Choice>
        </mc:AlternateContent>
        <mc:AlternateContent xmlns:mc="http://schemas.openxmlformats.org/markup-compatibility/2006">
          <mc:Choice Requires="x14">
            <control shapeId="20596" r:id="rId7" name="Check Box 116">
              <controlPr defaultSize="0" autoFill="0" autoLine="0" autoPict="0">
                <anchor moveWithCells="1">
                  <from>
                    <xdr:col>2</xdr:col>
                    <xdr:colOff>330200</xdr:colOff>
                    <xdr:row>11</xdr:row>
                    <xdr:rowOff>63500</xdr:rowOff>
                  </from>
                  <to>
                    <xdr:col>2</xdr:col>
                    <xdr:colOff>571500</xdr:colOff>
                    <xdr:row>12</xdr:row>
                    <xdr:rowOff>0</xdr:rowOff>
                  </to>
                </anchor>
              </controlPr>
            </control>
          </mc:Choice>
        </mc:AlternateContent>
        <mc:AlternateContent xmlns:mc="http://schemas.openxmlformats.org/markup-compatibility/2006">
          <mc:Choice Requires="x14">
            <control shapeId="20597" r:id="rId8" name="Check Box 117">
              <controlPr defaultSize="0" autoFill="0" autoLine="0" autoPict="0">
                <anchor moveWithCells="1">
                  <from>
                    <xdr:col>2</xdr:col>
                    <xdr:colOff>330200</xdr:colOff>
                    <xdr:row>13</xdr:row>
                    <xdr:rowOff>63500</xdr:rowOff>
                  </from>
                  <to>
                    <xdr:col>2</xdr:col>
                    <xdr:colOff>571500</xdr:colOff>
                    <xdr:row>14</xdr:row>
                    <xdr:rowOff>0</xdr:rowOff>
                  </to>
                </anchor>
              </controlPr>
            </control>
          </mc:Choice>
        </mc:AlternateContent>
        <mc:AlternateContent xmlns:mc="http://schemas.openxmlformats.org/markup-compatibility/2006">
          <mc:Choice Requires="x14">
            <control shapeId="20598" r:id="rId9" name="Check Box 118">
              <controlPr defaultSize="0" autoFill="0" autoLine="0" autoPict="0">
                <anchor moveWithCells="1">
                  <from>
                    <xdr:col>2</xdr:col>
                    <xdr:colOff>330200</xdr:colOff>
                    <xdr:row>17</xdr:row>
                    <xdr:rowOff>63500</xdr:rowOff>
                  </from>
                  <to>
                    <xdr:col>2</xdr:col>
                    <xdr:colOff>571500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6D9D9-5B22-9140-954A-7D3D0705AB58}">
  <sheetPr codeName="Sheet14"/>
  <dimension ref="A1:E17"/>
  <sheetViews>
    <sheetView zoomScale="68" zoomScaleNormal="75" workbookViewId="0">
      <selection activeCell="B21" sqref="B21"/>
    </sheetView>
  </sheetViews>
  <sheetFormatPr baseColWidth="10" defaultRowHeight="18" x14ac:dyDescent="0.2"/>
  <cols>
    <col min="1" max="1" width="13.5" style="1" bestFit="1" customWidth="1"/>
    <col min="2" max="2" width="255.6640625" style="1" customWidth="1"/>
    <col min="3" max="3" width="10.83203125" style="1"/>
    <col min="4" max="4" width="9.1640625" style="1" hidden="1" customWidth="1"/>
    <col min="5" max="16384" width="10.83203125" style="1"/>
  </cols>
  <sheetData>
    <row r="1" spans="1:5" ht="23" x14ac:dyDescent="0.25">
      <c r="A1" s="128" t="s">
        <v>126</v>
      </c>
      <c r="B1" s="128"/>
      <c r="C1" s="128"/>
    </row>
    <row r="2" spans="1:5" ht="20" x14ac:dyDescent="0.2">
      <c r="A2" s="118" t="s">
        <v>121</v>
      </c>
      <c r="B2" s="118"/>
      <c r="C2" s="118"/>
    </row>
    <row r="3" spans="1:5" x14ac:dyDescent="0.2">
      <c r="A3" s="2" t="s">
        <v>355</v>
      </c>
      <c r="B3" s="2" t="s">
        <v>354</v>
      </c>
      <c r="C3" s="2"/>
      <c r="D3" s="1" t="b">
        <v>0</v>
      </c>
      <c r="E3" s="1">
        <v>44.1</v>
      </c>
    </row>
    <row r="4" spans="1:5" ht="20" x14ac:dyDescent="0.2">
      <c r="A4" s="118" t="s">
        <v>122</v>
      </c>
      <c r="B4" s="118"/>
      <c r="C4" s="118"/>
    </row>
    <row r="5" spans="1:5" ht="20" x14ac:dyDescent="0.2">
      <c r="A5" s="118" t="s">
        <v>123</v>
      </c>
      <c r="B5" s="118"/>
      <c r="C5" s="118"/>
    </row>
    <row r="6" spans="1:5" ht="20" x14ac:dyDescent="0.2">
      <c r="A6" s="118" t="s">
        <v>124</v>
      </c>
      <c r="B6" s="118"/>
      <c r="C6" s="118"/>
    </row>
    <row r="7" spans="1:5" ht="20" x14ac:dyDescent="0.2">
      <c r="A7" s="137" t="s">
        <v>125</v>
      </c>
      <c r="B7" s="137"/>
      <c r="C7" s="137"/>
    </row>
    <row r="8" spans="1:5" x14ac:dyDescent="0.2">
      <c r="A8" s="2" t="s">
        <v>294</v>
      </c>
      <c r="B8" s="2" t="s">
        <v>293</v>
      </c>
      <c r="C8" s="2"/>
      <c r="D8" s="1" t="b">
        <v>0</v>
      </c>
      <c r="E8" s="1">
        <v>63.2</v>
      </c>
    </row>
    <row r="9" spans="1:5" x14ac:dyDescent="0.2">
      <c r="A9" s="2" t="s">
        <v>387</v>
      </c>
      <c r="B9" s="2" t="s">
        <v>386</v>
      </c>
      <c r="C9" s="2"/>
      <c r="D9" s="1" t="b">
        <v>0</v>
      </c>
      <c r="E9" s="1">
        <v>72</v>
      </c>
    </row>
    <row r="10" spans="1:5" ht="38" x14ac:dyDescent="0.2">
      <c r="A10" s="41" t="s">
        <v>467</v>
      </c>
      <c r="B10" s="23" t="s">
        <v>466</v>
      </c>
      <c r="C10" s="2"/>
      <c r="D10" s="1" t="b">
        <v>0</v>
      </c>
      <c r="E10" s="1">
        <v>86.1</v>
      </c>
    </row>
    <row r="11" spans="1:5" ht="38" x14ac:dyDescent="0.2">
      <c r="A11" s="68" t="s">
        <v>656</v>
      </c>
      <c r="B11" s="23" t="s">
        <v>655</v>
      </c>
      <c r="C11" s="2"/>
      <c r="D11" s="1" t="b">
        <v>0</v>
      </c>
      <c r="E11" s="1">
        <v>59</v>
      </c>
    </row>
    <row r="12" spans="1:5" x14ac:dyDescent="0.2">
      <c r="A12" s="39" t="s">
        <v>688</v>
      </c>
      <c r="B12" s="2" t="s">
        <v>687</v>
      </c>
      <c r="C12" s="27"/>
      <c r="D12" s="1" t="b">
        <v>0</v>
      </c>
      <c r="E12" s="1">
        <v>53</v>
      </c>
    </row>
    <row r="13" spans="1:5" ht="19" x14ac:dyDescent="0.2">
      <c r="A13" s="39" t="s">
        <v>747</v>
      </c>
      <c r="B13" s="23" t="s">
        <v>746</v>
      </c>
      <c r="C13" s="27"/>
      <c r="D13" s="1" t="b">
        <v>0</v>
      </c>
      <c r="E13" s="1">
        <v>62.7</v>
      </c>
    </row>
    <row r="15" spans="1:5" x14ac:dyDescent="0.2">
      <c r="A15" s="6" t="s">
        <v>762</v>
      </c>
      <c r="B15" s="7">
        <f>COUNTA(D3:D13)</f>
        <v>7</v>
      </c>
    </row>
    <row r="16" spans="1:5" x14ac:dyDescent="0.2">
      <c r="A16" s="6" t="s">
        <v>37</v>
      </c>
      <c r="B16" s="7">
        <f>COUNTIF(D3:D13, TRUE)</f>
        <v>0</v>
      </c>
    </row>
    <row r="17" spans="1:2" x14ac:dyDescent="0.2">
      <c r="A17" s="6" t="s">
        <v>38</v>
      </c>
      <c r="B17" s="11">
        <f>(B16/B15)*100</f>
        <v>0</v>
      </c>
    </row>
  </sheetData>
  <mergeCells count="6">
    <mergeCell ref="A7:C7"/>
    <mergeCell ref="A1:C1"/>
    <mergeCell ref="A4:C4"/>
    <mergeCell ref="A2:C2"/>
    <mergeCell ref="A5:C5"/>
    <mergeCell ref="A6:C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54" r:id="rId3" name="Check Box 50">
              <controlPr defaultSize="0" autoFill="0" autoLine="0" autoPict="0">
                <anchor moveWithCells="1">
                  <from>
                    <xdr:col>2</xdr:col>
                    <xdr:colOff>304800</xdr:colOff>
                    <xdr:row>2</xdr:row>
                    <xdr:rowOff>50800</xdr:rowOff>
                  </from>
                  <to>
                    <xdr:col>2</xdr:col>
                    <xdr:colOff>546100</xdr:colOff>
                    <xdr:row>2</xdr:row>
                    <xdr:rowOff>203200</xdr:rowOff>
                  </to>
                </anchor>
              </controlPr>
            </control>
          </mc:Choice>
        </mc:AlternateContent>
        <mc:AlternateContent xmlns:mc="http://schemas.openxmlformats.org/markup-compatibility/2006">
          <mc:Choice Requires="x14">
            <control shapeId="21555" r:id="rId4" name="Check Box 51">
              <controlPr defaultSize="0" autoFill="0" autoLine="0" autoPict="0">
                <anchor moveWithCells="1">
                  <from>
                    <xdr:col>2</xdr:col>
                    <xdr:colOff>304800</xdr:colOff>
                    <xdr:row>7</xdr:row>
                    <xdr:rowOff>50800</xdr:rowOff>
                  </from>
                  <to>
                    <xdr:col>2</xdr:col>
                    <xdr:colOff>546100</xdr:colOff>
                    <xdr:row>7</xdr:row>
                    <xdr:rowOff>203200</xdr:rowOff>
                  </to>
                </anchor>
              </controlPr>
            </control>
          </mc:Choice>
        </mc:AlternateContent>
        <mc:AlternateContent xmlns:mc="http://schemas.openxmlformats.org/markup-compatibility/2006">
          <mc:Choice Requires="x14">
            <control shapeId="21556" r:id="rId5" name="Check Box 52">
              <controlPr defaultSize="0" autoFill="0" autoLine="0" autoPict="0">
                <anchor moveWithCells="1">
                  <from>
                    <xdr:col>2</xdr:col>
                    <xdr:colOff>304800</xdr:colOff>
                    <xdr:row>8</xdr:row>
                    <xdr:rowOff>50800</xdr:rowOff>
                  </from>
                  <to>
                    <xdr:col>2</xdr:col>
                    <xdr:colOff>546100</xdr:colOff>
                    <xdr:row>8</xdr:row>
                    <xdr:rowOff>203200</xdr:rowOff>
                  </to>
                </anchor>
              </controlPr>
            </control>
          </mc:Choice>
        </mc:AlternateContent>
        <mc:AlternateContent xmlns:mc="http://schemas.openxmlformats.org/markup-compatibility/2006">
          <mc:Choice Requires="x14">
            <control shapeId="21557" r:id="rId6" name="Check Box 53">
              <controlPr defaultSize="0" autoFill="0" autoLine="0" autoPict="0">
                <anchor moveWithCells="1">
                  <from>
                    <xdr:col>2</xdr:col>
                    <xdr:colOff>304800</xdr:colOff>
                    <xdr:row>9</xdr:row>
                    <xdr:rowOff>50800</xdr:rowOff>
                  </from>
                  <to>
                    <xdr:col>2</xdr:col>
                    <xdr:colOff>546100</xdr:colOff>
                    <xdr:row>9</xdr:row>
                    <xdr:rowOff>203200</xdr:rowOff>
                  </to>
                </anchor>
              </controlPr>
            </control>
          </mc:Choice>
        </mc:AlternateContent>
        <mc:AlternateContent xmlns:mc="http://schemas.openxmlformats.org/markup-compatibility/2006">
          <mc:Choice Requires="x14">
            <control shapeId="21558" r:id="rId7" name="Check Box 54">
              <controlPr defaultSize="0" autoFill="0" autoLine="0" autoPict="0">
                <anchor moveWithCells="1">
                  <from>
                    <xdr:col>2</xdr:col>
                    <xdr:colOff>304800</xdr:colOff>
                    <xdr:row>10</xdr:row>
                    <xdr:rowOff>165100</xdr:rowOff>
                  </from>
                  <to>
                    <xdr:col>2</xdr:col>
                    <xdr:colOff>546100</xdr:colOff>
                    <xdr:row>10</xdr:row>
                    <xdr:rowOff>317500</xdr:rowOff>
                  </to>
                </anchor>
              </controlPr>
            </control>
          </mc:Choice>
        </mc:AlternateContent>
        <mc:AlternateContent xmlns:mc="http://schemas.openxmlformats.org/markup-compatibility/2006">
          <mc:Choice Requires="x14">
            <control shapeId="21559" r:id="rId8" name="Check Box 55">
              <controlPr defaultSize="0" autoFill="0" autoLine="0" autoPict="0">
                <anchor moveWithCells="1">
                  <from>
                    <xdr:col>2</xdr:col>
                    <xdr:colOff>304800</xdr:colOff>
                    <xdr:row>11</xdr:row>
                    <xdr:rowOff>50800</xdr:rowOff>
                  </from>
                  <to>
                    <xdr:col>2</xdr:col>
                    <xdr:colOff>546100</xdr:colOff>
                    <xdr:row>11</xdr:row>
                    <xdr:rowOff>203200</xdr:rowOff>
                  </to>
                </anchor>
              </controlPr>
            </control>
          </mc:Choice>
        </mc:AlternateContent>
        <mc:AlternateContent xmlns:mc="http://schemas.openxmlformats.org/markup-compatibility/2006">
          <mc:Choice Requires="x14">
            <control shapeId="21560" r:id="rId9" name="Check Box 56">
              <controlPr defaultSize="0" autoFill="0" autoLine="0" autoPict="0">
                <anchor moveWithCells="1">
                  <from>
                    <xdr:col>2</xdr:col>
                    <xdr:colOff>304800</xdr:colOff>
                    <xdr:row>12</xdr:row>
                    <xdr:rowOff>50800</xdr:rowOff>
                  </from>
                  <to>
                    <xdr:col>2</xdr:col>
                    <xdr:colOff>546100</xdr:colOff>
                    <xdr:row>12</xdr:row>
                    <xdr:rowOff>203200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B2FD4-EB25-EF4D-A25E-5556E0A2885C}">
  <sheetPr codeName="Sheet15"/>
  <dimension ref="A1:E37"/>
  <sheetViews>
    <sheetView topLeftCell="A3" zoomScale="69" zoomScaleNormal="75" workbookViewId="0">
      <selection activeCell="B25" sqref="B25"/>
    </sheetView>
  </sheetViews>
  <sheetFormatPr baseColWidth="10" defaultRowHeight="16" x14ac:dyDescent="0.2"/>
  <cols>
    <col min="1" max="1" width="13.6640625" style="28" bestFit="1" customWidth="1"/>
    <col min="2" max="2" width="255.83203125" style="28" bestFit="1" customWidth="1"/>
    <col min="3" max="3" width="10.83203125" style="28" customWidth="1"/>
    <col min="4" max="4" width="7.33203125" style="28" hidden="1" customWidth="1"/>
    <col min="5" max="5" width="11" style="28" bestFit="1" customWidth="1"/>
    <col min="6" max="16384" width="10.83203125" style="28"/>
  </cols>
  <sheetData>
    <row r="1" spans="1:5" ht="23" x14ac:dyDescent="0.2">
      <c r="A1" s="139" t="s">
        <v>135</v>
      </c>
      <c r="B1" s="140"/>
      <c r="C1" s="141"/>
      <c r="D1" s="77"/>
      <c r="E1" s="77" t="s">
        <v>197</v>
      </c>
    </row>
    <row r="2" spans="1:5" ht="20" x14ac:dyDescent="0.2">
      <c r="A2" s="118" t="s">
        <v>64</v>
      </c>
      <c r="B2" s="118"/>
      <c r="C2" s="118"/>
      <c r="D2" s="77"/>
      <c r="E2" s="77"/>
    </row>
    <row r="3" spans="1:5" ht="18" x14ac:dyDescent="0.2">
      <c r="A3" s="68" t="s">
        <v>298</v>
      </c>
      <c r="B3" s="68" t="s">
        <v>297</v>
      </c>
      <c r="C3" s="44"/>
      <c r="D3" s="77" t="b">
        <v>0</v>
      </c>
      <c r="E3" s="77">
        <v>47.9</v>
      </c>
    </row>
    <row r="4" spans="1:5" ht="20" x14ac:dyDescent="0.2">
      <c r="A4" s="118" t="s">
        <v>131</v>
      </c>
      <c r="B4" s="118"/>
      <c r="C4" s="118"/>
      <c r="D4" s="77"/>
      <c r="E4" s="77"/>
    </row>
    <row r="5" spans="1:5" ht="18" x14ac:dyDescent="0.2">
      <c r="A5" s="78" t="s">
        <v>173</v>
      </c>
      <c r="B5" s="78" t="s">
        <v>174</v>
      </c>
      <c r="C5" s="44"/>
      <c r="D5" s="77" t="b">
        <v>0</v>
      </c>
      <c r="E5" s="77">
        <v>78.599999999999994</v>
      </c>
    </row>
    <row r="6" spans="1:5" ht="16" customHeight="1" x14ac:dyDescent="0.2">
      <c r="A6" s="68" t="s">
        <v>652</v>
      </c>
      <c r="B6" s="68" t="s">
        <v>651</v>
      </c>
      <c r="C6" s="44"/>
      <c r="D6" s="77" t="b">
        <v>0</v>
      </c>
      <c r="E6" s="77">
        <v>60</v>
      </c>
    </row>
    <row r="7" spans="1:5" ht="20" x14ac:dyDescent="0.2">
      <c r="A7" s="118" t="s">
        <v>132</v>
      </c>
      <c r="B7" s="118"/>
      <c r="C7" s="118"/>
      <c r="D7" s="77"/>
      <c r="E7" s="77"/>
    </row>
    <row r="8" spans="1:5" ht="38" x14ac:dyDescent="0.2">
      <c r="A8" s="68" t="s">
        <v>625</v>
      </c>
      <c r="B8" s="5" t="s">
        <v>624</v>
      </c>
      <c r="C8" s="44"/>
      <c r="D8" s="77" t="b">
        <v>0</v>
      </c>
      <c r="E8" s="77">
        <v>63.2</v>
      </c>
    </row>
    <row r="9" spans="1:5" ht="20" x14ac:dyDescent="0.2">
      <c r="A9" s="118" t="s">
        <v>133</v>
      </c>
      <c r="B9" s="118"/>
      <c r="C9" s="118"/>
      <c r="D9" s="77"/>
      <c r="E9" s="77"/>
    </row>
    <row r="10" spans="1:5" ht="38" x14ac:dyDescent="0.2">
      <c r="A10" s="68" t="s">
        <v>219</v>
      </c>
      <c r="B10" s="5" t="s">
        <v>218</v>
      </c>
      <c r="C10" s="44"/>
      <c r="D10" s="77" t="b">
        <v>0</v>
      </c>
      <c r="E10" s="77">
        <v>68.3</v>
      </c>
    </row>
    <row r="11" spans="1:5" ht="18" x14ac:dyDescent="0.2">
      <c r="A11" s="68" t="s">
        <v>253</v>
      </c>
      <c r="B11" s="68" t="s">
        <v>252</v>
      </c>
      <c r="C11" s="44"/>
      <c r="D11" s="77" t="b">
        <v>0</v>
      </c>
      <c r="E11" s="77">
        <v>67.400000000000006</v>
      </c>
    </row>
    <row r="12" spans="1:5" ht="40" customHeight="1" x14ac:dyDescent="0.2">
      <c r="A12" s="68" t="s">
        <v>479</v>
      </c>
      <c r="B12" s="5" t="s">
        <v>478</v>
      </c>
      <c r="C12" s="44"/>
      <c r="D12" s="77" t="b">
        <v>0</v>
      </c>
      <c r="E12" s="77">
        <v>31.9</v>
      </c>
    </row>
    <row r="13" spans="1:5" ht="18" x14ac:dyDescent="0.2">
      <c r="A13" s="68" t="s">
        <v>570</v>
      </c>
      <c r="B13" s="68" t="s">
        <v>569</v>
      </c>
      <c r="C13" s="44"/>
      <c r="D13" s="77" t="b">
        <v>0</v>
      </c>
      <c r="E13" s="77">
        <v>52</v>
      </c>
    </row>
    <row r="14" spans="1:5" ht="57" customHeight="1" x14ac:dyDescent="0.2">
      <c r="A14" s="68" t="s">
        <v>607</v>
      </c>
      <c r="B14" s="5" t="s">
        <v>606</v>
      </c>
      <c r="C14" s="44"/>
      <c r="D14" s="77" t="b">
        <v>0</v>
      </c>
      <c r="E14" s="77">
        <v>13.4</v>
      </c>
    </row>
    <row r="15" spans="1:5" ht="38" x14ac:dyDescent="0.2">
      <c r="A15" s="68" t="s">
        <v>743</v>
      </c>
      <c r="B15" s="5" t="s">
        <v>742</v>
      </c>
      <c r="C15" s="44"/>
      <c r="D15" s="77" t="b">
        <v>0</v>
      </c>
      <c r="E15" s="77">
        <v>52.4</v>
      </c>
    </row>
    <row r="16" spans="1:5" ht="20" x14ac:dyDescent="0.2">
      <c r="A16" s="118" t="s">
        <v>134</v>
      </c>
      <c r="B16" s="118"/>
      <c r="C16" s="118"/>
    </row>
    <row r="17" spans="1:5" ht="38" x14ac:dyDescent="0.2">
      <c r="A17" s="39" t="s">
        <v>280</v>
      </c>
      <c r="B17" s="24" t="s">
        <v>279</v>
      </c>
      <c r="C17" s="49"/>
      <c r="D17" s="28" t="b">
        <v>0</v>
      </c>
      <c r="E17" s="28">
        <v>49.8</v>
      </c>
    </row>
    <row r="18" spans="1:5" ht="20" customHeight="1" x14ac:dyDescent="0.2">
      <c r="A18" s="39" t="s">
        <v>350</v>
      </c>
      <c r="B18" s="24" t="s">
        <v>349</v>
      </c>
      <c r="C18" s="49"/>
      <c r="D18" s="28" t="b">
        <v>0</v>
      </c>
      <c r="E18" s="28">
        <v>59.9</v>
      </c>
    </row>
    <row r="19" spans="1:5" ht="19" x14ac:dyDescent="0.2">
      <c r="A19" s="39" t="s">
        <v>445</v>
      </c>
      <c r="B19" s="23" t="s">
        <v>444</v>
      </c>
      <c r="C19" s="49"/>
      <c r="D19" s="28" t="b">
        <v>0</v>
      </c>
      <c r="E19" s="28">
        <v>71.400000000000006</v>
      </c>
    </row>
    <row r="20" spans="1:5" ht="37" customHeight="1" x14ac:dyDescent="0.2">
      <c r="A20" s="41" t="s">
        <v>552</v>
      </c>
      <c r="B20" s="5" t="s">
        <v>551</v>
      </c>
      <c r="C20" s="49"/>
      <c r="D20" s="28" t="b">
        <v>0</v>
      </c>
      <c r="E20" s="28">
        <v>69.2</v>
      </c>
    </row>
    <row r="21" spans="1:5" ht="18" x14ac:dyDescent="0.2">
      <c r="A21" s="39" t="s">
        <v>684</v>
      </c>
      <c r="B21" s="2" t="s">
        <v>683</v>
      </c>
      <c r="C21" s="49"/>
      <c r="D21" s="28" t="b">
        <v>0</v>
      </c>
      <c r="E21" s="28">
        <v>77</v>
      </c>
    </row>
    <row r="22" spans="1:5" ht="18" x14ac:dyDescent="0.2">
      <c r="A22" s="39" t="s">
        <v>718</v>
      </c>
      <c r="B22" s="2" t="s">
        <v>717</v>
      </c>
      <c r="C22" s="49"/>
      <c r="D22" s="28" t="b">
        <v>0</v>
      </c>
      <c r="E22" s="28">
        <v>55.4</v>
      </c>
    </row>
    <row r="23" spans="1:5" x14ac:dyDescent="0.2">
      <c r="B23" s="42"/>
    </row>
    <row r="24" spans="1:5" ht="18" x14ac:dyDescent="0.2">
      <c r="A24" s="6" t="s">
        <v>762</v>
      </c>
      <c r="B24" s="7">
        <f>COUNTA(D3:D22)</f>
        <v>16</v>
      </c>
    </row>
    <row r="25" spans="1:5" ht="18" x14ac:dyDescent="0.2">
      <c r="A25" s="6" t="s">
        <v>37</v>
      </c>
      <c r="B25" s="7">
        <f>COUNTIF(D3:D22, TRUE)</f>
        <v>0</v>
      </c>
    </row>
    <row r="26" spans="1:5" ht="18" x14ac:dyDescent="0.2">
      <c r="A26" s="6" t="s">
        <v>38</v>
      </c>
      <c r="B26" s="11">
        <f>(B25/B24)*100</f>
        <v>0</v>
      </c>
    </row>
    <row r="27" spans="1:5" x14ac:dyDescent="0.2">
      <c r="B27" s="42" t="s">
        <v>130</v>
      </c>
    </row>
    <row r="31" spans="1:5" x14ac:dyDescent="0.2">
      <c r="B31" s="42"/>
    </row>
    <row r="33" spans="2:2" x14ac:dyDescent="0.2">
      <c r="B33" s="42"/>
    </row>
    <row r="35" spans="2:2" x14ac:dyDescent="0.2">
      <c r="B35" s="42"/>
    </row>
    <row r="37" spans="2:2" x14ac:dyDescent="0.2">
      <c r="B37" s="42"/>
    </row>
  </sheetData>
  <mergeCells count="6">
    <mergeCell ref="A1:C1"/>
    <mergeCell ref="A16:C16"/>
    <mergeCell ref="A2:C2"/>
    <mergeCell ref="A7:C7"/>
    <mergeCell ref="A4:C4"/>
    <mergeCell ref="A9:C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603" r:id="rId3" name="Check Box 75">
              <controlPr defaultSize="0" autoFill="0" autoLine="0" autoPict="0">
                <anchor moveWithCells="1">
                  <from>
                    <xdr:col>2</xdr:col>
                    <xdr:colOff>292100</xdr:colOff>
                    <xdr:row>2</xdr:row>
                    <xdr:rowOff>38100</xdr:rowOff>
                  </from>
                  <to>
                    <xdr:col>2</xdr:col>
                    <xdr:colOff>571500</xdr:colOff>
                    <xdr:row>2</xdr:row>
                    <xdr:rowOff>203200</xdr:rowOff>
                  </to>
                </anchor>
              </controlPr>
            </control>
          </mc:Choice>
        </mc:AlternateContent>
        <mc:AlternateContent xmlns:mc="http://schemas.openxmlformats.org/markup-compatibility/2006">
          <mc:Choice Requires="x14">
            <control shapeId="22604" r:id="rId4" name="Check Box 76">
              <controlPr defaultSize="0" autoFill="0" autoLine="0" autoPict="0">
                <anchor moveWithCells="1">
                  <from>
                    <xdr:col>2</xdr:col>
                    <xdr:colOff>292100</xdr:colOff>
                    <xdr:row>4</xdr:row>
                    <xdr:rowOff>38100</xdr:rowOff>
                  </from>
                  <to>
                    <xdr:col>2</xdr:col>
                    <xdr:colOff>571500</xdr:colOff>
                    <xdr:row>4</xdr:row>
                    <xdr:rowOff>203200</xdr:rowOff>
                  </to>
                </anchor>
              </controlPr>
            </control>
          </mc:Choice>
        </mc:AlternateContent>
        <mc:AlternateContent xmlns:mc="http://schemas.openxmlformats.org/markup-compatibility/2006">
          <mc:Choice Requires="x14">
            <control shapeId="22605" r:id="rId5" name="Check Box 77">
              <controlPr defaultSize="0" autoFill="0" autoLine="0" autoPict="0">
                <anchor moveWithCells="1">
                  <from>
                    <xdr:col>2</xdr:col>
                    <xdr:colOff>292100</xdr:colOff>
                    <xdr:row>5</xdr:row>
                    <xdr:rowOff>38100</xdr:rowOff>
                  </from>
                  <to>
                    <xdr:col>2</xdr:col>
                    <xdr:colOff>571500</xdr:colOff>
                    <xdr:row>6</xdr:row>
                    <xdr:rowOff>0</xdr:rowOff>
                  </to>
                </anchor>
              </controlPr>
            </control>
          </mc:Choice>
        </mc:AlternateContent>
        <mc:AlternateContent xmlns:mc="http://schemas.openxmlformats.org/markup-compatibility/2006">
          <mc:Choice Requires="x14">
            <control shapeId="22606" r:id="rId6" name="Check Box 78">
              <controlPr defaultSize="0" autoFill="0" autoLine="0" autoPict="0">
                <anchor moveWithCells="1">
                  <from>
                    <xdr:col>2</xdr:col>
                    <xdr:colOff>292100</xdr:colOff>
                    <xdr:row>7</xdr:row>
                    <xdr:rowOff>152400</xdr:rowOff>
                  </from>
                  <to>
                    <xdr:col>2</xdr:col>
                    <xdr:colOff>571500</xdr:colOff>
                    <xdr:row>7</xdr:row>
                    <xdr:rowOff>317500</xdr:rowOff>
                  </to>
                </anchor>
              </controlPr>
            </control>
          </mc:Choice>
        </mc:AlternateContent>
        <mc:AlternateContent xmlns:mc="http://schemas.openxmlformats.org/markup-compatibility/2006">
          <mc:Choice Requires="x14">
            <control shapeId="22607" r:id="rId7" name="Check Box 79">
              <controlPr defaultSize="0" autoFill="0" autoLine="0" autoPict="0">
                <anchor moveWithCells="1">
                  <from>
                    <xdr:col>2</xdr:col>
                    <xdr:colOff>292100</xdr:colOff>
                    <xdr:row>9</xdr:row>
                    <xdr:rowOff>152400</xdr:rowOff>
                  </from>
                  <to>
                    <xdr:col>2</xdr:col>
                    <xdr:colOff>571500</xdr:colOff>
                    <xdr:row>9</xdr:row>
                    <xdr:rowOff>317500</xdr:rowOff>
                  </to>
                </anchor>
              </controlPr>
            </control>
          </mc:Choice>
        </mc:AlternateContent>
        <mc:AlternateContent xmlns:mc="http://schemas.openxmlformats.org/markup-compatibility/2006">
          <mc:Choice Requires="x14">
            <control shapeId="22613" r:id="rId8" name="Check Box 85">
              <controlPr defaultSize="0" autoFill="0" autoLine="0" autoPict="0">
                <anchor moveWithCells="1">
                  <from>
                    <xdr:col>2</xdr:col>
                    <xdr:colOff>292100</xdr:colOff>
                    <xdr:row>10</xdr:row>
                    <xdr:rowOff>25400</xdr:rowOff>
                  </from>
                  <to>
                    <xdr:col>2</xdr:col>
                    <xdr:colOff>571500</xdr:colOff>
                    <xdr:row>10</xdr:row>
                    <xdr:rowOff>177800</xdr:rowOff>
                  </to>
                </anchor>
              </controlPr>
            </control>
          </mc:Choice>
        </mc:AlternateContent>
        <mc:AlternateContent xmlns:mc="http://schemas.openxmlformats.org/markup-compatibility/2006">
          <mc:Choice Requires="x14">
            <control shapeId="22614" r:id="rId9" name="Check Box 86">
              <controlPr defaultSize="0" autoFill="0" autoLine="0" autoPict="0">
                <anchor moveWithCells="1">
                  <from>
                    <xdr:col>2</xdr:col>
                    <xdr:colOff>292100</xdr:colOff>
                    <xdr:row>11</xdr:row>
                    <xdr:rowOff>203200</xdr:rowOff>
                  </from>
                  <to>
                    <xdr:col>2</xdr:col>
                    <xdr:colOff>571500</xdr:colOff>
                    <xdr:row>11</xdr:row>
                    <xdr:rowOff>368300</xdr:rowOff>
                  </to>
                </anchor>
              </controlPr>
            </control>
          </mc:Choice>
        </mc:AlternateContent>
        <mc:AlternateContent xmlns:mc="http://schemas.openxmlformats.org/markup-compatibility/2006">
          <mc:Choice Requires="x14">
            <control shapeId="22615" r:id="rId10" name="Check Box 87">
              <controlPr defaultSize="0" autoFill="0" autoLine="0" autoPict="0">
                <anchor moveWithCells="1">
                  <from>
                    <xdr:col>2</xdr:col>
                    <xdr:colOff>292100</xdr:colOff>
                    <xdr:row>12</xdr:row>
                    <xdr:rowOff>25400</xdr:rowOff>
                  </from>
                  <to>
                    <xdr:col>2</xdr:col>
                    <xdr:colOff>571500</xdr:colOff>
                    <xdr:row>12</xdr:row>
                    <xdr:rowOff>177800</xdr:rowOff>
                  </to>
                </anchor>
              </controlPr>
            </control>
          </mc:Choice>
        </mc:AlternateContent>
        <mc:AlternateContent xmlns:mc="http://schemas.openxmlformats.org/markup-compatibility/2006">
          <mc:Choice Requires="x14">
            <control shapeId="22616" r:id="rId11" name="Check Box 88">
              <controlPr defaultSize="0" autoFill="0" autoLine="0" autoPict="0">
                <anchor moveWithCells="1">
                  <from>
                    <xdr:col>2</xdr:col>
                    <xdr:colOff>292100</xdr:colOff>
                    <xdr:row>13</xdr:row>
                    <xdr:rowOff>228600</xdr:rowOff>
                  </from>
                  <to>
                    <xdr:col>2</xdr:col>
                    <xdr:colOff>571500</xdr:colOff>
                    <xdr:row>13</xdr:row>
                    <xdr:rowOff>381000</xdr:rowOff>
                  </to>
                </anchor>
              </controlPr>
            </control>
          </mc:Choice>
        </mc:AlternateContent>
        <mc:AlternateContent xmlns:mc="http://schemas.openxmlformats.org/markup-compatibility/2006">
          <mc:Choice Requires="x14">
            <control shapeId="22617" r:id="rId12" name="Check Box 89">
              <controlPr defaultSize="0" autoFill="0" autoLine="0" autoPict="0">
                <anchor moveWithCells="1">
                  <from>
                    <xdr:col>2</xdr:col>
                    <xdr:colOff>292100</xdr:colOff>
                    <xdr:row>14</xdr:row>
                    <xdr:rowOff>228600</xdr:rowOff>
                  </from>
                  <to>
                    <xdr:col>2</xdr:col>
                    <xdr:colOff>571500</xdr:colOff>
                    <xdr:row>14</xdr:row>
                    <xdr:rowOff>381000</xdr:rowOff>
                  </to>
                </anchor>
              </controlPr>
            </control>
          </mc:Choice>
        </mc:AlternateContent>
        <mc:AlternateContent xmlns:mc="http://schemas.openxmlformats.org/markup-compatibility/2006">
          <mc:Choice Requires="x14">
            <control shapeId="22618" r:id="rId13" name="Check Box 90">
              <controlPr defaultSize="0" autoFill="0" autoLine="0" autoPict="0">
                <anchor moveWithCells="1">
                  <from>
                    <xdr:col>2</xdr:col>
                    <xdr:colOff>292100</xdr:colOff>
                    <xdr:row>16</xdr:row>
                    <xdr:rowOff>177800</xdr:rowOff>
                  </from>
                  <to>
                    <xdr:col>2</xdr:col>
                    <xdr:colOff>571500</xdr:colOff>
                    <xdr:row>16</xdr:row>
                    <xdr:rowOff>330200</xdr:rowOff>
                  </to>
                </anchor>
              </controlPr>
            </control>
          </mc:Choice>
        </mc:AlternateContent>
        <mc:AlternateContent xmlns:mc="http://schemas.openxmlformats.org/markup-compatibility/2006">
          <mc:Choice Requires="x14">
            <control shapeId="22624" r:id="rId14" name="Check Box 96">
              <controlPr defaultSize="0" autoFill="0" autoLine="0" autoPict="0">
                <anchor moveWithCells="1">
                  <from>
                    <xdr:col>2</xdr:col>
                    <xdr:colOff>292100</xdr:colOff>
                    <xdr:row>17</xdr:row>
                    <xdr:rowOff>25400</xdr:rowOff>
                  </from>
                  <to>
                    <xdr:col>2</xdr:col>
                    <xdr:colOff>571500</xdr:colOff>
                    <xdr:row>17</xdr:row>
                    <xdr:rowOff>190500</xdr:rowOff>
                  </to>
                </anchor>
              </controlPr>
            </control>
          </mc:Choice>
        </mc:AlternateContent>
        <mc:AlternateContent xmlns:mc="http://schemas.openxmlformats.org/markup-compatibility/2006">
          <mc:Choice Requires="x14">
            <control shapeId="22625" r:id="rId15" name="Check Box 97">
              <controlPr defaultSize="0" autoFill="0" autoLine="0" autoPict="0">
                <anchor moveWithCells="1">
                  <from>
                    <xdr:col>2</xdr:col>
                    <xdr:colOff>292100</xdr:colOff>
                    <xdr:row>18</xdr:row>
                    <xdr:rowOff>63500</xdr:rowOff>
                  </from>
                  <to>
                    <xdr:col>2</xdr:col>
                    <xdr:colOff>571500</xdr:colOff>
                    <xdr:row>18</xdr:row>
                    <xdr:rowOff>215900</xdr:rowOff>
                  </to>
                </anchor>
              </controlPr>
            </control>
          </mc:Choice>
        </mc:AlternateContent>
        <mc:AlternateContent xmlns:mc="http://schemas.openxmlformats.org/markup-compatibility/2006">
          <mc:Choice Requires="x14">
            <control shapeId="22626" r:id="rId16" name="Check Box 98">
              <controlPr defaultSize="0" autoFill="0" autoLine="0" autoPict="0">
                <anchor moveWithCells="1">
                  <from>
                    <xdr:col>2</xdr:col>
                    <xdr:colOff>292100</xdr:colOff>
                    <xdr:row>19</xdr:row>
                    <xdr:rowOff>177800</xdr:rowOff>
                  </from>
                  <to>
                    <xdr:col>2</xdr:col>
                    <xdr:colOff>571500</xdr:colOff>
                    <xdr:row>19</xdr:row>
                    <xdr:rowOff>330200</xdr:rowOff>
                  </to>
                </anchor>
              </controlPr>
            </control>
          </mc:Choice>
        </mc:AlternateContent>
        <mc:AlternateContent xmlns:mc="http://schemas.openxmlformats.org/markup-compatibility/2006">
          <mc:Choice Requires="x14">
            <control shapeId="22627" r:id="rId17" name="Check Box 99">
              <controlPr defaultSize="0" autoFill="0" autoLine="0" autoPict="0">
                <anchor moveWithCells="1">
                  <from>
                    <xdr:col>2</xdr:col>
                    <xdr:colOff>292100</xdr:colOff>
                    <xdr:row>20</xdr:row>
                    <xdr:rowOff>25400</xdr:rowOff>
                  </from>
                  <to>
                    <xdr:col>2</xdr:col>
                    <xdr:colOff>571500</xdr:colOff>
                    <xdr:row>20</xdr:row>
                    <xdr:rowOff>177800</xdr:rowOff>
                  </to>
                </anchor>
              </controlPr>
            </control>
          </mc:Choice>
        </mc:AlternateContent>
        <mc:AlternateContent xmlns:mc="http://schemas.openxmlformats.org/markup-compatibility/2006">
          <mc:Choice Requires="x14">
            <control shapeId="22628" r:id="rId18" name="Check Box 100">
              <controlPr defaultSize="0" autoFill="0" autoLine="0" autoPict="0">
                <anchor moveWithCells="1">
                  <from>
                    <xdr:col>2</xdr:col>
                    <xdr:colOff>292100</xdr:colOff>
                    <xdr:row>21</xdr:row>
                    <xdr:rowOff>25400</xdr:rowOff>
                  </from>
                  <to>
                    <xdr:col>2</xdr:col>
                    <xdr:colOff>571500</xdr:colOff>
                    <xdr:row>21</xdr:row>
                    <xdr:rowOff>177800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89D29-2930-2F49-9717-0F9C3DF958F1}">
  <sheetPr codeName="Sheet16"/>
  <dimension ref="A1:E13"/>
  <sheetViews>
    <sheetView zoomScale="70" zoomScaleNormal="70" workbookViewId="0">
      <selection activeCell="B18" sqref="B18"/>
    </sheetView>
  </sheetViews>
  <sheetFormatPr baseColWidth="10" defaultRowHeight="18" x14ac:dyDescent="0.2"/>
  <cols>
    <col min="1" max="1" width="13.5" style="1" bestFit="1" customWidth="1"/>
    <col min="2" max="2" width="255.6640625" style="1" customWidth="1"/>
    <col min="3" max="3" width="10.83203125" style="1"/>
    <col min="4" max="4" width="9" style="1" hidden="1" customWidth="1"/>
    <col min="5" max="16384" width="10.83203125" style="1"/>
  </cols>
  <sheetData>
    <row r="1" spans="1:5" ht="25" x14ac:dyDescent="0.2">
      <c r="A1" s="145" t="s">
        <v>139</v>
      </c>
      <c r="B1" s="146"/>
      <c r="C1" s="147"/>
    </row>
    <row r="2" spans="1:5" ht="20" x14ac:dyDescent="0.2">
      <c r="A2" s="142" t="s">
        <v>146</v>
      </c>
      <c r="B2" s="143"/>
      <c r="C2" s="144"/>
    </row>
    <row r="3" spans="1:5" ht="20" x14ac:dyDescent="0.2">
      <c r="A3" s="118" t="s">
        <v>137</v>
      </c>
      <c r="B3" s="118"/>
      <c r="C3" s="118"/>
    </row>
    <row r="4" spans="1:5" x14ac:dyDescent="0.2">
      <c r="A4" s="68" t="s">
        <v>595</v>
      </c>
      <c r="B4" s="2" t="s">
        <v>594</v>
      </c>
      <c r="C4" s="67"/>
      <c r="D4" s="1" t="b">
        <v>0</v>
      </c>
      <c r="E4" s="1">
        <v>74.5</v>
      </c>
    </row>
    <row r="5" spans="1:5" ht="20" x14ac:dyDescent="0.2">
      <c r="A5" s="137" t="s">
        <v>136</v>
      </c>
      <c r="B5" s="137"/>
      <c r="C5" s="137"/>
    </row>
    <row r="6" spans="1:5" x14ac:dyDescent="0.2">
      <c r="A6" s="2" t="s">
        <v>749</v>
      </c>
      <c r="B6" s="2" t="s">
        <v>748</v>
      </c>
      <c r="C6" s="2"/>
      <c r="D6" s="1" t="b">
        <v>0</v>
      </c>
      <c r="E6" s="1">
        <v>83.7</v>
      </c>
    </row>
    <row r="7" spans="1:5" ht="20" x14ac:dyDescent="0.2">
      <c r="A7" s="137" t="s">
        <v>138</v>
      </c>
      <c r="B7" s="137"/>
      <c r="C7" s="137"/>
    </row>
    <row r="8" spans="1:5" x14ac:dyDescent="0.2">
      <c r="A8" s="2" t="s">
        <v>449</v>
      </c>
      <c r="B8" s="2" t="s">
        <v>448</v>
      </c>
      <c r="C8" s="2"/>
      <c r="D8" s="1" t="b">
        <v>0</v>
      </c>
      <c r="E8" s="1">
        <v>56.5</v>
      </c>
    </row>
    <row r="9" spans="1:5" ht="38" x14ac:dyDescent="0.2">
      <c r="A9" s="41" t="s">
        <v>543</v>
      </c>
      <c r="B9" s="23" t="s">
        <v>544</v>
      </c>
      <c r="C9" s="2"/>
      <c r="D9" s="1" t="b">
        <v>0</v>
      </c>
      <c r="E9" s="1">
        <v>46.2</v>
      </c>
    </row>
    <row r="11" spans="1:5" x14ac:dyDescent="0.2">
      <c r="A11" s="6" t="s">
        <v>762</v>
      </c>
      <c r="B11" s="7">
        <f>COUNTA(D3:D9)</f>
        <v>4</v>
      </c>
    </row>
    <row r="12" spans="1:5" x14ac:dyDescent="0.2">
      <c r="A12" s="6" t="s">
        <v>37</v>
      </c>
      <c r="B12" s="7">
        <f>COUNTIF(D3:D9, TRUE)</f>
        <v>0</v>
      </c>
    </row>
    <row r="13" spans="1:5" x14ac:dyDescent="0.2">
      <c r="A13" s="6" t="s">
        <v>38</v>
      </c>
      <c r="B13" s="11">
        <f>(B12/B11)*100</f>
        <v>0</v>
      </c>
    </row>
  </sheetData>
  <mergeCells count="5">
    <mergeCell ref="A2:C2"/>
    <mergeCell ref="A3:C3"/>
    <mergeCell ref="A5:C5"/>
    <mergeCell ref="A7:C7"/>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89" r:id="rId3" name="Check Box 37">
              <controlPr defaultSize="0" autoFill="0" autoLine="0" autoPict="0">
                <anchor moveWithCells="1">
                  <from>
                    <xdr:col>2</xdr:col>
                    <xdr:colOff>317500</xdr:colOff>
                    <xdr:row>3</xdr:row>
                    <xdr:rowOff>12700</xdr:rowOff>
                  </from>
                  <to>
                    <xdr:col>2</xdr:col>
                    <xdr:colOff>635000</xdr:colOff>
                    <xdr:row>4</xdr:row>
                    <xdr:rowOff>12700</xdr:rowOff>
                  </to>
                </anchor>
              </controlPr>
            </control>
          </mc:Choice>
        </mc:AlternateContent>
        <mc:AlternateContent xmlns:mc="http://schemas.openxmlformats.org/markup-compatibility/2006">
          <mc:Choice Requires="x14">
            <control shapeId="23590" r:id="rId4" name="Check Box 38">
              <controlPr defaultSize="0" autoFill="0" autoLine="0" autoPict="0">
                <anchor moveWithCells="1">
                  <from>
                    <xdr:col>2</xdr:col>
                    <xdr:colOff>317500</xdr:colOff>
                    <xdr:row>5</xdr:row>
                    <xdr:rowOff>12700</xdr:rowOff>
                  </from>
                  <to>
                    <xdr:col>2</xdr:col>
                    <xdr:colOff>635000</xdr:colOff>
                    <xdr:row>6</xdr:row>
                    <xdr:rowOff>12700</xdr:rowOff>
                  </to>
                </anchor>
              </controlPr>
            </control>
          </mc:Choice>
        </mc:AlternateContent>
        <mc:AlternateContent xmlns:mc="http://schemas.openxmlformats.org/markup-compatibility/2006">
          <mc:Choice Requires="x14">
            <control shapeId="23591" r:id="rId5" name="Check Box 39">
              <controlPr defaultSize="0" autoFill="0" autoLine="0" autoPict="0">
                <anchor moveWithCells="1">
                  <from>
                    <xdr:col>2</xdr:col>
                    <xdr:colOff>317500</xdr:colOff>
                    <xdr:row>7</xdr:row>
                    <xdr:rowOff>12700</xdr:rowOff>
                  </from>
                  <to>
                    <xdr:col>2</xdr:col>
                    <xdr:colOff>635000</xdr:colOff>
                    <xdr:row>8</xdr:row>
                    <xdr:rowOff>12700</xdr:rowOff>
                  </to>
                </anchor>
              </controlPr>
            </control>
          </mc:Choice>
        </mc:AlternateContent>
        <mc:AlternateContent xmlns:mc="http://schemas.openxmlformats.org/markup-compatibility/2006">
          <mc:Choice Requires="x14">
            <control shapeId="23592" r:id="rId6" name="Check Box 40">
              <controlPr defaultSize="0" autoFill="0" autoLine="0" autoPict="0">
                <anchor moveWithCells="1">
                  <from>
                    <xdr:col>2</xdr:col>
                    <xdr:colOff>317500</xdr:colOff>
                    <xdr:row>8</xdr:row>
                    <xdr:rowOff>127000</xdr:rowOff>
                  </from>
                  <to>
                    <xdr:col>2</xdr:col>
                    <xdr:colOff>635000</xdr:colOff>
                    <xdr:row>8</xdr:row>
                    <xdr:rowOff>355600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C8049-F59C-6E45-B29D-66130AE33788}">
  <sheetPr codeName="Sheet17"/>
  <dimension ref="A1:E12"/>
  <sheetViews>
    <sheetView zoomScale="70" zoomScaleNormal="70" workbookViewId="0">
      <selection activeCell="B18" sqref="B18"/>
    </sheetView>
  </sheetViews>
  <sheetFormatPr baseColWidth="10" defaultRowHeight="16" x14ac:dyDescent="0.2"/>
  <cols>
    <col min="1" max="1" width="13.6640625" style="28" bestFit="1" customWidth="1"/>
    <col min="2" max="2" width="255.6640625" style="28" customWidth="1"/>
    <col min="3" max="3" width="10.83203125" style="28"/>
    <col min="4" max="4" width="7.33203125" style="28" hidden="1" customWidth="1"/>
    <col min="5" max="16384" width="10.83203125" style="28"/>
  </cols>
  <sheetData>
    <row r="1" spans="1:5" ht="23" x14ac:dyDescent="0.25">
      <c r="A1" s="148" t="s">
        <v>144</v>
      </c>
      <c r="B1" s="149"/>
      <c r="C1" s="150"/>
    </row>
    <row r="2" spans="1:5" ht="20" x14ac:dyDescent="0.2">
      <c r="A2" s="151" t="s">
        <v>141</v>
      </c>
      <c r="B2" s="152"/>
      <c r="C2" s="153"/>
    </row>
    <row r="3" spans="1:5" ht="20" x14ac:dyDescent="0.2">
      <c r="A3" s="151" t="s">
        <v>142</v>
      </c>
      <c r="B3" s="152"/>
      <c r="C3" s="153"/>
    </row>
    <row r="4" spans="1:5" ht="18" x14ac:dyDescent="0.2">
      <c r="A4" s="119" t="s">
        <v>64</v>
      </c>
      <c r="B4" s="120"/>
      <c r="C4" s="121"/>
    </row>
    <row r="5" spans="1:5" ht="18" x14ac:dyDescent="0.2">
      <c r="A5" s="2" t="s">
        <v>433</v>
      </c>
      <c r="B5" s="2" t="s">
        <v>432</v>
      </c>
      <c r="C5" s="2"/>
      <c r="D5" s="28" t="b">
        <v>0</v>
      </c>
      <c r="E5" s="28">
        <v>77</v>
      </c>
    </row>
    <row r="6" spans="1:5" ht="18" x14ac:dyDescent="0.2">
      <c r="A6" s="119" t="s">
        <v>143</v>
      </c>
      <c r="B6" s="120"/>
      <c r="C6" s="121"/>
    </row>
    <row r="7" spans="1:5" ht="18" x14ac:dyDescent="0.2">
      <c r="A7" s="41" t="s">
        <v>540</v>
      </c>
      <c r="B7" s="2" t="s">
        <v>539</v>
      </c>
      <c r="C7" s="69"/>
      <c r="D7" s="28" t="b">
        <v>0</v>
      </c>
      <c r="E7" s="28">
        <v>33.5</v>
      </c>
    </row>
    <row r="8" spans="1:5" ht="18" x14ac:dyDescent="0.2">
      <c r="A8" s="119" t="s">
        <v>138</v>
      </c>
      <c r="B8" s="120"/>
      <c r="C8" s="121"/>
    </row>
    <row r="10" spans="1:5" ht="18" x14ac:dyDescent="0.2">
      <c r="A10" s="6" t="s">
        <v>762</v>
      </c>
      <c r="B10" s="31">
        <f>COUNTA(D3:D8)</f>
        <v>2</v>
      </c>
    </row>
    <row r="11" spans="1:5" ht="18" x14ac:dyDescent="0.2">
      <c r="A11" s="6" t="s">
        <v>37</v>
      </c>
      <c r="B11" s="31">
        <f>COUNTIF(D3:D8, TRUE)</f>
        <v>0</v>
      </c>
    </row>
    <row r="12" spans="1:5" ht="18" x14ac:dyDescent="0.2">
      <c r="A12" s="6" t="s">
        <v>38</v>
      </c>
      <c r="B12" s="32">
        <f>(B11/B10)*100</f>
        <v>0</v>
      </c>
    </row>
  </sheetData>
  <mergeCells count="6">
    <mergeCell ref="A1:C1"/>
    <mergeCell ref="A8:C8"/>
    <mergeCell ref="A6:C6"/>
    <mergeCell ref="A2:C2"/>
    <mergeCell ref="A3:C3"/>
    <mergeCell ref="A4: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645" r:id="rId3" name="Check Box 69">
              <controlPr defaultSize="0" autoFill="0" autoLine="0" autoPict="0">
                <anchor moveWithCells="1">
                  <from>
                    <xdr:col>2</xdr:col>
                    <xdr:colOff>330200</xdr:colOff>
                    <xdr:row>4</xdr:row>
                    <xdr:rowOff>38100</xdr:rowOff>
                  </from>
                  <to>
                    <xdr:col>2</xdr:col>
                    <xdr:colOff>596900</xdr:colOff>
                    <xdr:row>4</xdr:row>
                    <xdr:rowOff>203200</xdr:rowOff>
                  </to>
                </anchor>
              </controlPr>
            </control>
          </mc:Choice>
        </mc:AlternateContent>
        <mc:AlternateContent xmlns:mc="http://schemas.openxmlformats.org/markup-compatibility/2006">
          <mc:Choice Requires="x14">
            <control shapeId="24646" r:id="rId4" name="Check Box 70">
              <controlPr defaultSize="0" autoFill="0" autoLine="0" autoPict="0">
                <anchor moveWithCells="1">
                  <from>
                    <xdr:col>2</xdr:col>
                    <xdr:colOff>330200</xdr:colOff>
                    <xdr:row>6</xdr:row>
                    <xdr:rowOff>38100</xdr:rowOff>
                  </from>
                  <to>
                    <xdr:col>2</xdr:col>
                    <xdr:colOff>596900</xdr:colOff>
                    <xdr:row>6</xdr:row>
                    <xdr:rowOff>203200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C063B-AC40-C64C-9299-39CABF685452}">
  <sheetPr codeName="Sheet18"/>
  <dimension ref="A1:E33"/>
  <sheetViews>
    <sheetView topLeftCell="A8" zoomScale="58" zoomScaleNormal="75" workbookViewId="0">
      <selection activeCell="B35" sqref="B35"/>
    </sheetView>
  </sheetViews>
  <sheetFormatPr baseColWidth="10" defaultRowHeight="18" x14ac:dyDescent="0.2"/>
  <cols>
    <col min="1" max="1" width="13.5" style="51" bestFit="1" customWidth="1"/>
    <col min="2" max="2" width="255.6640625" style="51" customWidth="1"/>
    <col min="3" max="3" width="10.83203125" style="51"/>
    <col min="4" max="4" width="8.5" style="51" bestFit="1" customWidth="1"/>
    <col min="5" max="16384" width="10.83203125" style="51"/>
  </cols>
  <sheetData>
    <row r="1" spans="1:5" ht="23" x14ac:dyDescent="0.2">
      <c r="A1" s="110" t="s">
        <v>155</v>
      </c>
      <c r="B1" s="110"/>
      <c r="C1" s="111"/>
      <c r="E1" s="51" t="s">
        <v>197</v>
      </c>
    </row>
    <row r="2" spans="1:5" ht="20" x14ac:dyDescent="0.2">
      <c r="A2" s="142" t="s">
        <v>54</v>
      </c>
      <c r="B2" s="143"/>
      <c r="C2" s="144"/>
      <c r="E2" s="51">
        <v>70.8</v>
      </c>
    </row>
    <row r="3" spans="1:5" x14ac:dyDescent="0.2">
      <c r="A3" s="39" t="s">
        <v>335</v>
      </c>
      <c r="B3" s="53" t="s">
        <v>334</v>
      </c>
      <c r="C3" s="68"/>
      <c r="D3" s="51" t="b">
        <v>0</v>
      </c>
      <c r="E3" s="51">
        <v>23.3</v>
      </c>
    </row>
    <row r="4" spans="1:5" ht="19" x14ac:dyDescent="0.2">
      <c r="A4" s="39" t="s">
        <v>499</v>
      </c>
      <c r="B4" s="10" t="s">
        <v>498</v>
      </c>
      <c r="C4" s="68"/>
      <c r="D4" s="51" t="b">
        <v>0</v>
      </c>
    </row>
    <row r="5" spans="1:5" ht="20" x14ac:dyDescent="0.2">
      <c r="A5" s="142" t="s">
        <v>62</v>
      </c>
      <c r="B5" s="143"/>
      <c r="C5" s="144"/>
    </row>
    <row r="6" spans="1:5" x14ac:dyDescent="0.2">
      <c r="A6" s="39" t="s">
        <v>204</v>
      </c>
      <c r="B6" s="53" t="s">
        <v>203</v>
      </c>
      <c r="C6" s="39"/>
      <c r="D6" s="51" t="b">
        <v>0</v>
      </c>
      <c r="E6" s="51">
        <v>35.6</v>
      </c>
    </row>
    <row r="7" spans="1:5" ht="20" x14ac:dyDescent="0.2">
      <c r="A7" s="142" t="s">
        <v>64</v>
      </c>
      <c r="B7" s="143"/>
      <c r="C7" s="144"/>
    </row>
    <row r="8" spans="1:5" x14ac:dyDescent="0.2">
      <c r="A8" s="39" t="s">
        <v>373</v>
      </c>
      <c r="B8" s="53" t="s">
        <v>372</v>
      </c>
      <c r="C8" s="39"/>
      <c r="D8" s="51" t="b">
        <v>0</v>
      </c>
      <c r="E8" s="51">
        <v>74.3</v>
      </c>
    </row>
    <row r="9" spans="1:5" x14ac:dyDescent="0.2">
      <c r="A9" s="39" t="s">
        <v>415</v>
      </c>
      <c r="B9" s="53" t="s">
        <v>414</v>
      </c>
      <c r="C9" s="68"/>
      <c r="D9" s="51" t="b">
        <v>0</v>
      </c>
      <c r="E9" s="51">
        <v>68.3</v>
      </c>
    </row>
    <row r="10" spans="1:5" ht="40" customHeight="1" x14ac:dyDescent="0.2">
      <c r="A10" s="39" t="s">
        <v>465</v>
      </c>
      <c r="B10" s="5" t="s">
        <v>464</v>
      </c>
      <c r="C10" s="68"/>
      <c r="D10" s="51" t="b">
        <v>0</v>
      </c>
      <c r="E10" s="51">
        <v>45.8</v>
      </c>
    </row>
    <row r="11" spans="1:5" ht="57" x14ac:dyDescent="0.2">
      <c r="A11" s="39" t="s">
        <v>546</v>
      </c>
      <c r="B11" s="5" t="s">
        <v>545</v>
      </c>
      <c r="C11" s="68"/>
      <c r="D11" s="51" t="b">
        <v>0</v>
      </c>
      <c r="E11" s="51">
        <v>57.7</v>
      </c>
    </row>
    <row r="12" spans="1:5" x14ac:dyDescent="0.2">
      <c r="A12" s="39" t="s">
        <v>660</v>
      </c>
      <c r="B12" s="68" t="s">
        <v>659</v>
      </c>
      <c r="C12" s="68"/>
      <c r="D12" s="51" t="b">
        <v>0</v>
      </c>
      <c r="E12" s="51">
        <v>76</v>
      </c>
    </row>
    <row r="13" spans="1:5" ht="41" customHeight="1" x14ac:dyDescent="0.2">
      <c r="A13" s="39" t="s">
        <v>692</v>
      </c>
      <c r="B13" s="5" t="s">
        <v>691</v>
      </c>
      <c r="C13" s="68"/>
      <c r="D13" s="51" t="b">
        <v>0</v>
      </c>
      <c r="E13" s="51">
        <v>67</v>
      </c>
    </row>
    <row r="14" spans="1:5" ht="20" x14ac:dyDescent="0.2">
      <c r="A14" s="60" t="s">
        <v>156</v>
      </c>
      <c r="B14" s="60"/>
      <c r="C14" s="60"/>
    </row>
    <row r="15" spans="1:5" x14ac:dyDescent="0.2">
      <c r="A15" s="39" t="s">
        <v>259</v>
      </c>
      <c r="B15" s="39" t="s">
        <v>258</v>
      </c>
      <c r="C15" s="39"/>
      <c r="D15" s="51" t="b">
        <v>0</v>
      </c>
      <c r="E15" s="51">
        <v>24.9</v>
      </c>
    </row>
    <row r="16" spans="1:5" x14ac:dyDescent="0.2">
      <c r="A16" s="39" t="s">
        <v>389</v>
      </c>
      <c r="B16" s="39" t="s">
        <v>388</v>
      </c>
      <c r="C16" s="68"/>
      <c r="D16" s="51" t="b">
        <v>0</v>
      </c>
      <c r="E16" s="51">
        <v>80</v>
      </c>
    </row>
    <row r="17" spans="1:5" x14ac:dyDescent="0.2">
      <c r="A17" s="39" t="s">
        <v>634</v>
      </c>
      <c r="B17" s="68" t="s">
        <v>633</v>
      </c>
      <c r="C17" s="68"/>
      <c r="D17" s="51" t="b">
        <v>0</v>
      </c>
      <c r="E17" s="51">
        <v>72.5</v>
      </c>
    </row>
    <row r="18" spans="1:5" ht="228" customHeight="1" x14ac:dyDescent="0.2">
      <c r="A18" s="39" t="s">
        <v>711</v>
      </c>
      <c r="B18" s="5" t="s">
        <v>712</v>
      </c>
      <c r="C18" s="68"/>
      <c r="D18" s="51" t="b">
        <v>0</v>
      </c>
      <c r="E18" s="51">
        <v>65.5</v>
      </c>
    </row>
    <row r="19" spans="1:5" ht="20" x14ac:dyDescent="0.2">
      <c r="A19" s="60" t="s">
        <v>59</v>
      </c>
      <c r="B19" s="60"/>
      <c r="C19" s="60"/>
    </row>
    <row r="20" spans="1:5" x14ac:dyDescent="0.2">
      <c r="A20" s="61" t="s">
        <v>147</v>
      </c>
      <c r="B20" s="61"/>
      <c r="C20" s="61"/>
    </row>
    <row r="21" spans="1:5" ht="19" x14ac:dyDescent="0.2">
      <c r="A21" s="39" t="s">
        <v>751</v>
      </c>
      <c r="B21" s="5" t="s">
        <v>750</v>
      </c>
      <c r="C21" s="39"/>
      <c r="D21" s="51" t="b">
        <v>0</v>
      </c>
      <c r="E21" s="51">
        <v>61.4</v>
      </c>
    </row>
    <row r="22" spans="1:5" x14ac:dyDescent="0.2">
      <c r="A22" s="61" t="s">
        <v>148</v>
      </c>
      <c r="B22" s="61"/>
      <c r="C22" s="61"/>
    </row>
    <row r="23" spans="1:5" x14ac:dyDescent="0.2">
      <c r="A23" s="39" t="s">
        <v>576</v>
      </c>
      <c r="B23" s="39" t="s">
        <v>575</v>
      </c>
      <c r="C23" s="39"/>
      <c r="D23" s="51" t="b">
        <v>0</v>
      </c>
      <c r="E23" s="51">
        <v>66.8</v>
      </c>
    </row>
    <row r="24" spans="1:5" x14ac:dyDescent="0.2">
      <c r="A24" s="61" t="s">
        <v>1</v>
      </c>
      <c r="B24" s="61"/>
      <c r="C24" s="61"/>
    </row>
    <row r="25" spans="1:5" x14ac:dyDescent="0.2">
      <c r="A25" s="38" t="s">
        <v>149</v>
      </c>
      <c r="B25" s="38"/>
      <c r="C25" s="62"/>
    </row>
    <row r="26" spans="1:5" ht="20" x14ac:dyDescent="0.2">
      <c r="A26" s="37" t="s">
        <v>150</v>
      </c>
      <c r="B26" s="37"/>
      <c r="C26" s="37"/>
    </row>
    <row r="27" spans="1:5" ht="20" x14ac:dyDescent="0.2">
      <c r="A27" s="60" t="s">
        <v>151</v>
      </c>
      <c r="B27" s="60"/>
      <c r="C27" s="60"/>
    </row>
    <row r="28" spans="1:5" x14ac:dyDescent="0.2">
      <c r="A28" s="39" t="s">
        <v>307</v>
      </c>
      <c r="B28" s="39" t="s">
        <v>306</v>
      </c>
      <c r="C28" s="39"/>
      <c r="D28" s="51" t="b">
        <v>0</v>
      </c>
      <c r="E28" s="51">
        <v>40.5</v>
      </c>
    </row>
    <row r="29" spans="1:5" ht="20" x14ac:dyDescent="0.2">
      <c r="A29" s="60" t="s">
        <v>152</v>
      </c>
      <c r="B29" s="60"/>
      <c r="C29" s="60"/>
    </row>
    <row r="30" spans="1:5" s="89" customFormat="1" ht="20" x14ac:dyDescent="0.2">
      <c r="A30" s="88"/>
      <c r="B30" s="88"/>
      <c r="C30" s="88"/>
    </row>
    <row r="31" spans="1:5" x14ac:dyDescent="0.2">
      <c r="A31" s="90" t="s">
        <v>762</v>
      </c>
      <c r="B31" s="90">
        <f>COUNTA(D3:D29)</f>
        <v>16</v>
      </c>
      <c r="C31" s="87"/>
    </row>
    <row r="32" spans="1:5" x14ac:dyDescent="0.2">
      <c r="A32" s="90" t="s">
        <v>37</v>
      </c>
      <c r="B32" s="90">
        <f>COUNTIF(D3:D29, TRUE)</f>
        <v>0</v>
      </c>
      <c r="C32" s="87"/>
    </row>
    <row r="33" spans="1:3" x14ac:dyDescent="0.2">
      <c r="A33" s="90" t="s">
        <v>38</v>
      </c>
      <c r="B33" s="91">
        <f>(B32/B31)*100</f>
        <v>0</v>
      </c>
      <c r="C33" s="87"/>
    </row>
  </sheetData>
  <mergeCells count="4">
    <mergeCell ref="A1:C1"/>
    <mergeCell ref="A2:C2"/>
    <mergeCell ref="A5:C5"/>
    <mergeCell ref="A7:C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744" r:id="rId3" name="Check Box 144">
              <controlPr defaultSize="0" autoFill="0" autoLine="0" autoPict="0">
                <anchor moveWithCells="1">
                  <from>
                    <xdr:col>2</xdr:col>
                    <xdr:colOff>342900</xdr:colOff>
                    <xdr:row>2</xdr:row>
                    <xdr:rowOff>50800</xdr:rowOff>
                  </from>
                  <to>
                    <xdr:col>2</xdr:col>
                    <xdr:colOff>647700</xdr:colOff>
                    <xdr:row>2</xdr:row>
                    <xdr:rowOff>215900</xdr:rowOff>
                  </to>
                </anchor>
              </controlPr>
            </control>
          </mc:Choice>
        </mc:AlternateContent>
        <mc:AlternateContent xmlns:mc="http://schemas.openxmlformats.org/markup-compatibility/2006">
          <mc:Choice Requires="x14">
            <control shapeId="25745" r:id="rId4" name="Check Box 145">
              <controlPr defaultSize="0" autoFill="0" autoLine="0" autoPict="0">
                <anchor moveWithCells="1">
                  <from>
                    <xdr:col>2</xdr:col>
                    <xdr:colOff>342900</xdr:colOff>
                    <xdr:row>3</xdr:row>
                    <xdr:rowOff>50800</xdr:rowOff>
                  </from>
                  <to>
                    <xdr:col>2</xdr:col>
                    <xdr:colOff>647700</xdr:colOff>
                    <xdr:row>3</xdr:row>
                    <xdr:rowOff>215900</xdr:rowOff>
                  </to>
                </anchor>
              </controlPr>
            </control>
          </mc:Choice>
        </mc:AlternateContent>
        <mc:AlternateContent xmlns:mc="http://schemas.openxmlformats.org/markup-compatibility/2006">
          <mc:Choice Requires="x14">
            <control shapeId="25746" r:id="rId5" name="Check Box 146">
              <controlPr defaultSize="0" autoFill="0" autoLine="0" autoPict="0">
                <anchor moveWithCells="1">
                  <from>
                    <xdr:col>2</xdr:col>
                    <xdr:colOff>342900</xdr:colOff>
                    <xdr:row>5</xdr:row>
                    <xdr:rowOff>50800</xdr:rowOff>
                  </from>
                  <to>
                    <xdr:col>2</xdr:col>
                    <xdr:colOff>647700</xdr:colOff>
                    <xdr:row>5</xdr:row>
                    <xdr:rowOff>215900</xdr:rowOff>
                  </to>
                </anchor>
              </controlPr>
            </control>
          </mc:Choice>
        </mc:AlternateContent>
        <mc:AlternateContent xmlns:mc="http://schemas.openxmlformats.org/markup-compatibility/2006">
          <mc:Choice Requires="x14">
            <control shapeId="25747" r:id="rId6" name="Check Box 147">
              <controlPr defaultSize="0" autoFill="0" autoLine="0" autoPict="0">
                <anchor moveWithCells="1">
                  <from>
                    <xdr:col>2</xdr:col>
                    <xdr:colOff>342900</xdr:colOff>
                    <xdr:row>7</xdr:row>
                    <xdr:rowOff>50800</xdr:rowOff>
                  </from>
                  <to>
                    <xdr:col>2</xdr:col>
                    <xdr:colOff>647700</xdr:colOff>
                    <xdr:row>7</xdr:row>
                    <xdr:rowOff>215900</xdr:rowOff>
                  </to>
                </anchor>
              </controlPr>
            </control>
          </mc:Choice>
        </mc:AlternateContent>
        <mc:AlternateContent xmlns:mc="http://schemas.openxmlformats.org/markup-compatibility/2006">
          <mc:Choice Requires="x14">
            <control shapeId="25748" r:id="rId7" name="Check Box 148">
              <controlPr defaultSize="0" autoFill="0" autoLine="0" autoPict="0">
                <anchor moveWithCells="1">
                  <from>
                    <xdr:col>2</xdr:col>
                    <xdr:colOff>342900</xdr:colOff>
                    <xdr:row>8</xdr:row>
                    <xdr:rowOff>50800</xdr:rowOff>
                  </from>
                  <to>
                    <xdr:col>2</xdr:col>
                    <xdr:colOff>647700</xdr:colOff>
                    <xdr:row>8</xdr:row>
                    <xdr:rowOff>215900</xdr:rowOff>
                  </to>
                </anchor>
              </controlPr>
            </control>
          </mc:Choice>
        </mc:AlternateContent>
        <mc:AlternateContent xmlns:mc="http://schemas.openxmlformats.org/markup-compatibility/2006">
          <mc:Choice Requires="x14">
            <control shapeId="25749" r:id="rId8" name="Check Box 149">
              <controlPr defaultSize="0" autoFill="0" autoLine="0" autoPict="0">
                <anchor moveWithCells="1">
                  <from>
                    <xdr:col>2</xdr:col>
                    <xdr:colOff>342900</xdr:colOff>
                    <xdr:row>9</xdr:row>
                    <xdr:rowOff>50800</xdr:rowOff>
                  </from>
                  <to>
                    <xdr:col>2</xdr:col>
                    <xdr:colOff>647700</xdr:colOff>
                    <xdr:row>9</xdr:row>
                    <xdr:rowOff>215900</xdr:rowOff>
                  </to>
                </anchor>
              </controlPr>
            </control>
          </mc:Choice>
        </mc:AlternateContent>
        <mc:AlternateContent xmlns:mc="http://schemas.openxmlformats.org/markup-compatibility/2006">
          <mc:Choice Requires="x14">
            <control shapeId="25750" r:id="rId9" name="Check Box 150">
              <controlPr defaultSize="0" autoFill="0" autoLine="0" autoPict="0">
                <anchor moveWithCells="1">
                  <from>
                    <xdr:col>2</xdr:col>
                    <xdr:colOff>342900</xdr:colOff>
                    <xdr:row>10</xdr:row>
                    <xdr:rowOff>50800</xdr:rowOff>
                  </from>
                  <to>
                    <xdr:col>2</xdr:col>
                    <xdr:colOff>647700</xdr:colOff>
                    <xdr:row>10</xdr:row>
                    <xdr:rowOff>215900</xdr:rowOff>
                  </to>
                </anchor>
              </controlPr>
            </control>
          </mc:Choice>
        </mc:AlternateContent>
        <mc:AlternateContent xmlns:mc="http://schemas.openxmlformats.org/markup-compatibility/2006">
          <mc:Choice Requires="x14">
            <control shapeId="25751" r:id="rId10" name="Check Box 151">
              <controlPr defaultSize="0" autoFill="0" autoLine="0" autoPict="0">
                <anchor moveWithCells="1">
                  <from>
                    <xdr:col>2</xdr:col>
                    <xdr:colOff>342900</xdr:colOff>
                    <xdr:row>11</xdr:row>
                    <xdr:rowOff>50800</xdr:rowOff>
                  </from>
                  <to>
                    <xdr:col>2</xdr:col>
                    <xdr:colOff>647700</xdr:colOff>
                    <xdr:row>11</xdr:row>
                    <xdr:rowOff>215900</xdr:rowOff>
                  </to>
                </anchor>
              </controlPr>
            </control>
          </mc:Choice>
        </mc:AlternateContent>
        <mc:AlternateContent xmlns:mc="http://schemas.openxmlformats.org/markup-compatibility/2006">
          <mc:Choice Requires="x14">
            <control shapeId="25752" r:id="rId11" name="Check Box 152">
              <controlPr defaultSize="0" autoFill="0" autoLine="0" autoPict="0">
                <anchor moveWithCells="1">
                  <from>
                    <xdr:col>2</xdr:col>
                    <xdr:colOff>342900</xdr:colOff>
                    <xdr:row>12</xdr:row>
                    <xdr:rowOff>50800</xdr:rowOff>
                  </from>
                  <to>
                    <xdr:col>2</xdr:col>
                    <xdr:colOff>647700</xdr:colOff>
                    <xdr:row>12</xdr:row>
                    <xdr:rowOff>215900</xdr:rowOff>
                  </to>
                </anchor>
              </controlPr>
            </control>
          </mc:Choice>
        </mc:AlternateContent>
        <mc:AlternateContent xmlns:mc="http://schemas.openxmlformats.org/markup-compatibility/2006">
          <mc:Choice Requires="x14">
            <control shapeId="25753" r:id="rId12" name="Check Box 153">
              <controlPr defaultSize="0" autoFill="0" autoLine="0" autoPict="0">
                <anchor moveWithCells="1">
                  <from>
                    <xdr:col>2</xdr:col>
                    <xdr:colOff>342900</xdr:colOff>
                    <xdr:row>14</xdr:row>
                    <xdr:rowOff>50800</xdr:rowOff>
                  </from>
                  <to>
                    <xdr:col>2</xdr:col>
                    <xdr:colOff>647700</xdr:colOff>
                    <xdr:row>14</xdr:row>
                    <xdr:rowOff>215900</xdr:rowOff>
                  </to>
                </anchor>
              </controlPr>
            </control>
          </mc:Choice>
        </mc:AlternateContent>
        <mc:AlternateContent xmlns:mc="http://schemas.openxmlformats.org/markup-compatibility/2006">
          <mc:Choice Requires="x14">
            <control shapeId="25754" r:id="rId13" name="Check Box 154">
              <controlPr defaultSize="0" autoFill="0" autoLine="0" autoPict="0">
                <anchor moveWithCells="1">
                  <from>
                    <xdr:col>2</xdr:col>
                    <xdr:colOff>342900</xdr:colOff>
                    <xdr:row>15</xdr:row>
                    <xdr:rowOff>50800</xdr:rowOff>
                  </from>
                  <to>
                    <xdr:col>2</xdr:col>
                    <xdr:colOff>647700</xdr:colOff>
                    <xdr:row>15</xdr:row>
                    <xdr:rowOff>215900</xdr:rowOff>
                  </to>
                </anchor>
              </controlPr>
            </control>
          </mc:Choice>
        </mc:AlternateContent>
        <mc:AlternateContent xmlns:mc="http://schemas.openxmlformats.org/markup-compatibility/2006">
          <mc:Choice Requires="x14">
            <control shapeId="25755" r:id="rId14" name="Check Box 155">
              <controlPr defaultSize="0" autoFill="0" autoLine="0" autoPict="0">
                <anchor moveWithCells="1">
                  <from>
                    <xdr:col>2</xdr:col>
                    <xdr:colOff>342900</xdr:colOff>
                    <xdr:row>16</xdr:row>
                    <xdr:rowOff>50800</xdr:rowOff>
                  </from>
                  <to>
                    <xdr:col>2</xdr:col>
                    <xdr:colOff>647700</xdr:colOff>
                    <xdr:row>16</xdr:row>
                    <xdr:rowOff>215900</xdr:rowOff>
                  </to>
                </anchor>
              </controlPr>
            </control>
          </mc:Choice>
        </mc:AlternateContent>
        <mc:AlternateContent xmlns:mc="http://schemas.openxmlformats.org/markup-compatibility/2006">
          <mc:Choice Requires="x14">
            <control shapeId="25756" r:id="rId15" name="Check Box 156">
              <controlPr defaultSize="0" autoFill="0" autoLine="0" autoPict="0">
                <anchor moveWithCells="1">
                  <from>
                    <xdr:col>2</xdr:col>
                    <xdr:colOff>342900</xdr:colOff>
                    <xdr:row>17</xdr:row>
                    <xdr:rowOff>50800</xdr:rowOff>
                  </from>
                  <to>
                    <xdr:col>2</xdr:col>
                    <xdr:colOff>647700</xdr:colOff>
                    <xdr:row>17</xdr:row>
                    <xdr:rowOff>215900</xdr:rowOff>
                  </to>
                </anchor>
              </controlPr>
            </control>
          </mc:Choice>
        </mc:AlternateContent>
        <mc:AlternateContent xmlns:mc="http://schemas.openxmlformats.org/markup-compatibility/2006">
          <mc:Choice Requires="x14">
            <control shapeId="25757" r:id="rId16" name="Check Box 157">
              <controlPr defaultSize="0" autoFill="0" autoLine="0" autoPict="0">
                <anchor moveWithCells="1">
                  <from>
                    <xdr:col>2</xdr:col>
                    <xdr:colOff>342900</xdr:colOff>
                    <xdr:row>20</xdr:row>
                    <xdr:rowOff>50800</xdr:rowOff>
                  </from>
                  <to>
                    <xdr:col>2</xdr:col>
                    <xdr:colOff>647700</xdr:colOff>
                    <xdr:row>20</xdr:row>
                    <xdr:rowOff>215900</xdr:rowOff>
                  </to>
                </anchor>
              </controlPr>
            </control>
          </mc:Choice>
        </mc:AlternateContent>
        <mc:AlternateContent xmlns:mc="http://schemas.openxmlformats.org/markup-compatibility/2006">
          <mc:Choice Requires="x14">
            <control shapeId="25758" r:id="rId17" name="Check Box 158">
              <controlPr defaultSize="0" autoFill="0" autoLine="0" autoPict="0">
                <anchor moveWithCells="1">
                  <from>
                    <xdr:col>2</xdr:col>
                    <xdr:colOff>342900</xdr:colOff>
                    <xdr:row>22</xdr:row>
                    <xdr:rowOff>50800</xdr:rowOff>
                  </from>
                  <to>
                    <xdr:col>2</xdr:col>
                    <xdr:colOff>647700</xdr:colOff>
                    <xdr:row>22</xdr:row>
                    <xdr:rowOff>215900</xdr:rowOff>
                  </to>
                </anchor>
              </controlPr>
            </control>
          </mc:Choice>
        </mc:AlternateContent>
        <mc:AlternateContent xmlns:mc="http://schemas.openxmlformats.org/markup-compatibility/2006">
          <mc:Choice Requires="x14">
            <control shapeId="25759" r:id="rId18" name="Check Box 159">
              <controlPr defaultSize="0" autoFill="0" autoLine="0" autoPict="0">
                <anchor moveWithCells="1">
                  <from>
                    <xdr:col>2</xdr:col>
                    <xdr:colOff>342900</xdr:colOff>
                    <xdr:row>27</xdr:row>
                    <xdr:rowOff>50800</xdr:rowOff>
                  </from>
                  <to>
                    <xdr:col>2</xdr:col>
                    <xdr:colOff>647700</xdr:colOff>
                    <xdr:row>27</xdr:row>
                    <xdr:rowOff>215900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C23C-009B-9A40-BDA6-704750634A21}">
  <sheetPr codeName="Sheet19"/>
  <dimension ref="A1:E10"/>
  <sheetViews>
    <sheetView zoomScale="60" zoomScaleNormal="75" workbookViewId="0">
      <selection activeCell="B16" sqref="B16"/>
    </sheetView>
  </sheetViews>
  <sheetFormatPr baseColWidth="10" defaultRowHeight="20" x14ac:dyDescent="0.2"/>
  <cols>
    <col min="1" max="1" width="13.33203125" style="57" bestFit="1" customWidth="1"/>
    <col min="2" max="2" width="255.6640625" style="57" customWidth="1"/>
    <col min="3" max="3" width="10.83203125" style="57"/>
    <col min="4" max="4" width="10.5" style="57" hidden="1" customWidth="1"/>
    <col min="5" max="5" width="11" style="57" bestFit="1" customWidth="1"/>
    <col min="6" max="16384" width="10.83203125" style="57"/>
  </cols>
  <sheetData>
    <row r="1" spans="1:5" x14ac:dyDescent="0.2">
      <c r="A1" s="160" t="s">
        <v>159</v>
      </c>
      <c r="B1" s="160"/>
      <c r="C1" s="160"/>
      <c r="E1" s="57" t="s">
        <v>197</v>
      </c>
    </row>
    <row r="2" spans="1:5" x14ac:dyDescent="0.2">
      <c r="A2" s="157" t="s">
        <v>158</v>
      </c>
      <c r="B2" s="158"/>
      <c r="C2" s="159"/>
    </row>
    <row r="3" spans="1:5" ht="42" x14ac:dyDescent="0.2">
      <c r="A3" s="55" t="s">
        <v>200</v>
      </c>
      <c r="B3" s="58" t="s">
        <v>517</v>
      </c>
      <c r="C3" s="55"/>
      <c r="D3" s="57" t="b">
        <v>0</v>
      </c>
      <c r="E3" s="57">
        <v>49</v>
      </c>
    </row>
    <row r="4" spans="1:5" x14ac:dyDescent="0.2">
      <c r="A4" s="55" t="s">
        <v>519</v>
      </c>
      <c r="B4" s="55" t="s">
        <v>518</v>
      </c>
      <c r="C4" s="55"/>
      <c r="D4" s="57" t="b">
        <v>0</v>
      </c>
      <c r="E4" s="57">
        <v>61.6</v>
      </c>
    </row>
    <row r="5" spans="1:5" x14ac:dyDescent="0.2">
      <c r="A5" s="154" t="s">
        <v>157</v>
      </c>
      <c r="B5" s="155"/>
      <c r="C5" s="156"/>
    </row>
    <row r="6" spans="1:5" ht="42" x14ac:dyDescent="0.2">
      <c r="A6" s="55" t="s">
        <v>430</v>
      </c>
      <c r="B6" s="58" t="s">
        <v>431</v>
      </c>
      <c r="C6" s="55"/>
      <c r="D6" s="57" t="b">
        <v>0</v>
      </c>
      <c r="E6" s="57">
        <v>70.2</v>
      </c>
    </row>
    <row r="8" spans="1:5" x14ac:dyDescent="0.2">
      <c r="A8" s="56" t="s">
        <v>762</v>
      </c>
      <c r="B8" s="56">
        <f>COUNTA(D3:D6)</f>
        <v>3</v>
      </c>
    </row>
    <row r="9" spans="1:5" x14ac:dyDescent="0.2">
      <c r="A9" s="56" t="s">
        <v>37</v>
      </c>
      <c r="B9" s="56">
        <f>COUNTIF(D3:D6, TRUE)</f>
        <v>0</v>
      </c>
    </row>
    <row r="10" spans="1:5" x14ac:dyDescent="0.2">
      <c r="A10" s="56" t="s">
        <v>38</v>
      </c>
      <c r="B10" s="59">
        <f>(B9/B8)*100</f>
        <v>0</v>
      </c>
    </row>
  </sheetData>
  <mergeCells count="3">
    <mergeCell ref="A5:C5"/>
    <mergeCell ref="A2:C2"/>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67" r:id="rId3" name="Check Box 43">
              <controlPr defaultSize="0" autoFill="0" autoLine="0" autoPict="0">
                <anchor moveWithCells="1">
                  <from>
                    <xdr:col>2</xdr:col>
                    <xdr:colOff>342900</xdr:colOff>
                    <xdr:row>2</xdr:row>
                    <xdr:rowOff>190500</xdr:rowOff>
                  </from>
                  <to>
                    <xdr:col>2</xdr:col>
                    <xdr:colOff>571500</xdr:colOff>
                    <xdr:row>2</xdr:row>
                    <xdr:rowOff>342900</xdr:rowOff>
                  </to>
                </anchor>
              </controlPr>
            </control>
          </mc:Choice>
        </mc:AlternateContent>
        <mc:AlternateContent xmlns:mc="http://schemas.openxmlformats.org/markup-compatibility/2006">
          <mc:Choice Requires="x14">
            <control shapeId="26668" r:id="rId4" name="Check Box 44">
              <controlPr defaultSize="0" autoFill="0" autoLine="0" autoPict="0">
                <anchor moveWithCells="1">
                  <from>
                    <xdr:col>2</xdr:col>
                    <xdr:colOff>342900</xdr:colOff>
                    <xdr:row>3</xdr:row>
                    <xdr:rowOff>38100</xdr:rowOff>
                  </from>
                  <to>
                    <xdr:col>2</xdr:col>
                    <xdr:colOff>571500</xdr:colOff>
                    <xdr:row>3</xdr:row>
                    <xdr:rowOff>190500</xdr:rowOff>
                  </to>
                </anchor>
              </controlPr>
            </control>
          </mc:Choice>
        </mc:AlternateContent>
        <mc:AlternateContent xmlns:mc="http://schemas.openxmlformats.org/markup-compatibility/2006">
          <mc:Choice Requires="x14">
            <control shapeId="26669" r:id="rId5" name="Check Box 45">
              <controlPr defaultSize="0" autoFill="0" autoLine="0" autoPict="0">
                <anchor moveWithCells="1">
                  <from>
                    <xdr:col>2</xdr:col>
                    <xdr:colOff>342900</xdr:colOff>
                    <xdr:row>5</xdr:row>
                    <xdr:rowOff>165100</xdr:rowOff>
                  </from>
                  <to>
                    <xdr:col>2</xdr:col>
                    <xdr:colOff>571500</xdr:colOff>
                    <xdr:row>5</xdr:row>
                    <xdr:rowOff>317500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D549F-162F-D240-8AD5-5D8961CE78DA}">
  <sheetPr codeName="Sheet20"/>
  <dimension ref="A1:E17"/>
  <sheetViews>
    <sheetView zoomScale="64" zoomScaleNormal="75" workbookViewId="0">
      <selection activeCell="B27" sqref="B27"/>
    </sheetView>
  </sheetViews>
  <sheetFormatPr baseColWidth="10" defaultRowHeight="16" x14ac:dyDescent="0.2"/>
  <cols>
    <col min="1" max="1" width="13.33203125" style="28" bestFit="1" customWidth="1"/>
    <col min="2" max="2" width="255.83203125" style="28" bestFit="1" customWidth="1"/>
    <col min="3" max="3" width="10.83203125" style="28"/>
    <col min="4" max="4" width="7.5" style="28" hidden="1" customWidth="1"/>
    <col min="5" max="16384" width="10.83203125" style="28"/>
  </cols>
  <sheetData>
    <row r="1" spans="1:5" ht="23" x14ac:dyDescent="0.25">
      <c r="A1" s="128" t="s">
        <v>164</v>
      </c>
      <c r="B1" s="128"/>
      <c r="C1" s="128"/>
      <c r="E1" s="28" t="s">
        <v>197</v>
      </c>
    </row>
    <row r="2" spans="1:5" ht="20" x14ac:dyDescent="0.2">
      <c r="A2" s="137" t="s">
        <v>121</v>
      </c>
      <c r="B2" s="137"/>
      <c r="C2" s="137"/>
    </row>
    <row r="3" spans="1:5" ht="20" x14ac:dyDescent="0.2">
      <c r="A3" s="142" t="s">
        <v>148</v>
      </c>
      <c r="B3" s="143"/>
      <c r="C3" s="144"/>
    </row>
    <row r="4" spans="1:5" ht="20" x14ac:dyDescent="0.2">
      <c r="A4" s="151" t="s">
        <v>161</v>
      </c>
      <c r="B4" s="152"/>
      <c r="C4" s="153"/>
    </row>
    <row r="5" spans="1:5" ht="20" x14ac:dyDescent="0.2">
      <c r="A5" s="142" t="s">
        <v>162</v>
      </c>
      <c r="B5" s="143"/>
      <c r="C5" s="144"/>
    </row>
    <row r="6" spans="1:5" ht="18" x14ac:dyDescent="0.2">
      <c r="A6" s="2" t="s">
        <v>255</v>
      </c>
      <c r="B6" s="2" t="s">
        <v>254</v>
      </c>
      <c r="C6" s="2"/>
      <c r="D6" s="28" t="b">
        <v>0</v>
      </c>
      <c r="E6" s="28">
        <v>73</v>
      </c>
    </row>
    <row r="7" spans="1:5" ht="38" x14ac:dyDescent="0.2">
      <c r="A7" s="39" t="s">
        <v>288</v>
      </c>
      <c r="B7" s="5" t="s">
        <v>287</v>
      </c>
      <c r="C7" s="2"/>
      <c r="D7" s="28" t="b">
        <v>0</v>
      </c>
      <c r="E7" s="28">
        <v>79.900000000000006</v>
      </c>
    </row>
    <row r="8" spans="1:5" ht="38" customHeight="1" x14ac:dyDescent="0.2">
      <c r="A8" s="35" t="s">
        <v>381</v>
      </c>
      <c r="B8" s="5" t="s">
        <v>380</v>
      </c>
      <c r="C8" s="2"/>
      <c r="D8" s="28" t="b">
        <v>0</v>
      </c>
      <c r="E8" s="28">
        <v>66</v>
      </c>
    </row>
    <row r="9" spans="1:5" ht="38" x14ac:dyDescent="0.2">
      <c r="A9" s="41" t="s">
        <v>542</v>
      </c>
      <c r="B9" s="23" t="s">
        <v>541</v>
      </c>
      <c r="C9" s="2"/>
      <c r="D9" s="28" t="b">
        <v>0</v>
      </c>
      <c r="E9" s="28">
        <v>74.2</v>
      </c>
    </row>
    <row r="10" spans="1:5" ht="18" x14ac:dyDescent="0.2">
      <c r="A10" s="2" t="s">
        <v>580</v>
      </c>
      <c r="B10" s="2" t="s">
        <v>579</v>
      </c>
      <c r="C10" s="2"/>
      <c r="D10" s="28" t="b">
        <v>0</v>
      </c>
      <c r="E10" s="28">
        <v>71.8</v>
      </c>
    </row>
    <row r="11" spans="1:5" ht="38" x14ac:dyDescent="0.2">
      <c r="A11" s="68" t="s">
        <v>627</v>
      </c>
      <c r="B11" s="23" t="s">
        <v>626</v>
      </c>
      <c r="C11" s="2"/>
      <c r="D11" s="28" t="b">
        <v>0</v>
      </c>
      <c r="E11" s="28">
        <v>59.9</v>
      </c>
    </row>
    <row r="12" spans="1:5" ht="20" x14ac:dyDescent="0.2">
      <c r="A12" s="151" t="s">
        <v>163</v>
      </c>
      <c r="B12" s="152"/>
      <c r="C12" s="153"/>
    </row>
    <row r="13" spans="1:5" ht="18" x14ac:dyDescent="0.2">
      <c r="A13" s="41" t="s">
        <v>493</v>
      </c>
      <c r="B13" s="2" t="s">
        <v>492</v>
      </c>
      <c r="C13" s="66"/>
      <c r="D13" s="28" t="b">
        <v>0</v>
      </c>
    </row>
    <row r="15" spans="1:5" ht="18" x14ac:dyDescent="0.2">
      <c r="A15" s="6" t="s">
        <v>762</v>
      </c>
      <c r="B15" s="31">
        <f>COUNTA(D3:D13)</f>
        <v>7</v>
      </c>
    </row>
    <row r="16" spans="1:5" ht="18" x14ac:dyDescent="0.2">
      <c r="A16" s="6" t="s">
        <v>37</v>
      </c>
      <c r="B16" s="31">
        <f>COUNTIF(D3:D13, TRUE)</f>
        <v>0</v>
      </c>
    </row>
    <row r="17" spans="1:2" ht="18" x14ac:dyDescent="0.2">
      <c r="A17" s="6" t="s">
        <v>38</v>
      </c>
      <c r="B17" s="32">
        <f>(B16/B15)*100</f>
        <v>0</v>
      </c>
    </row>
  </sheetData>
  <mergeCells count="6">
    <mergeCell ref="A12:C12"/>
    <mergeCell ref="A1:C1"/>
    <mergeCell ref="A2:C2"/>
    <mergeCell ref="A3:C3"/>
    <mergeCell ref="A4:C4"/>
    <mergeCell ref="A5:C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723" r:id="rId3" name="Check Box 75">
              <controlPr defaultSize="0" autoFill="0" autoLine="0" autoPict="0">
                <anchor moveWithCells="1">
                  <from>
                    <xdr:col>2</xdr:col>
                    <xdr:colOff>355600</xdr:colOff>
                    <xdr:row>5</xdr:row>
                    <xdr:rowOff>38100</xdr:rowOff>
                  </from>
                  <to>
                    <xdr:col>2</xdr:col>
                    <xdr:colOff>596900</xdr:colOff>
                    <xdr:row>5</xdr:row>
                    <xdr:rowOff>203200</xdr:rowOff>
                  </to>
                </anchor>
              </controlPr>
            </control>
          </mc:Choice>
        </mc:AlternateContent>
        <mc:AlternateContent xmlns:mc="http://schemas.openxmlformats.org/markup-compatibility/2006">
          <mc:Choice Requires="x14">
            <control shapeId="27724" r:id="rId4" name="Check Box 76">
              <controlPr defaultSize="0" autoFill="0" autoLine="0" autoPict="0">
                <anchor moveWithCells="1">
                  <from>
                    <xdr:col>2</xdr:col>
                    <xdr:colOff>355600</xdr:colOff>
                    <xdr:row>6</xdr:row>
                    <xdr:rowOff>38100</xdr:rowOff>
                  </from>
                  <to>
                    <xdr:col>2</xdr:col>
                    <xdr:colOff>596900</xdr:colOff>
                    <xdr:row>6</xdr:row>
                    <xdr:rowOff>203200</xdr:rowOff>
                  </to>
                </anchor>
              </controlPr>
            </control>
          </mc:Choice>
        </mc:AlternateContent>
        <mc:AlternateContent xmlns:mc="http://schemas.openxmlformats.org/markup-compatibility/2006">
          <mc:Choice Requires="x14">
            <control shapeId="27725" r:id="rId5" name="Check Box 77">
              <controlPr defaultSize="0" autoFill="0" autoLine="0" autoPict="0">
                <anchor moveWithCells="1">
                  <from>
                    <xdr:col>2</xdr:col>
                    <xdr:colOff>355600</xdr:colOff>
                    <xdr:row>7</xdr:row>
                    <xdr:rowOff>38100</xdr:rowOff>
                  </from>
                  <to>
                    <xdr:col>2</xdr:col>
                    <xdr:colOff>596900</xdr:colOff>
                    <xdr:row>7</xdr:row>
                    <xdr:rowOff>203200</xdr:rowOff>
                  </to>
                </anchor>
              </controlPr>
            </control>
          </mc:Choice>
        </mc:AlternateContent>
        <mc:AlternateContent xmlns:mc="http://schemas.openxmlformats.org/markup-compatibility/2006">
          <mc:Choice Requires="x14">
            <control shapeId="27726" r:id="rId6" name="Check Box 78">
              <controlPr defaultSize="0" autoFill="0" autoLine="0" autoPict="0">
                <anchor moveWithCells="1">
                  <from>
                    <xdr:col>2</xdr:col>
                    <xdr:colOff>355600</xdr:colOff>
                    <xdr:row>8</xdr:row>
                    <xdr:rowOff>38100</xdr:rowOff>
                  </from>
                  <to>
                    <xdr:col>2</xdr:col>
                    <xdr:colOff>596900</xdr:colOff>
                    <xdr:row>8</xdr:row>
                    <xdr:rowOff>203200</xdr:rowOff>
                  </to>
                </anchor>
              </controlPr>
            </control>
          </mc:Choice>
        </mc:AlternateContent>
        <mc:AlternateContent xmlns:mc="http://schemas.openxmlformats.org/markup-compatibility/2006">
          <mc:Choice Requires="x14">
            <control shapeId="27727" r:id="rId7" name="Check Box 79">
              <controlPr defaultSize="0" autoFill="0" autoLine="0" autoPict="0">
                <anchor moveWithCells="1">
                  <from>
                    <xdr:col>2</xdr:col>
                    <xdr:colOff>355600</xdr:colOff>
                    <xdr:row>9</xdr:row>
                    <xdr:rowOff>38100</xdr:rowOff>
                  </from>
                  <to>
                    <xdr:col>2</xdr:col>
                    <xdr:colOff>596900</xdr:colOff>
                    <xdr:row>9</xdr:row>
                    <xdr:rowOff>203200</xdr:rowOff>
                  </to>
                </anchor>
              </controlPr>
            </control>
          </mc:Choice>
        </mc:AlternateContent>
        <mc:AlternateContent xmlns:mc="http://schemas.openxmlformats.org/markup-compatibility/2006">
          <mc:Choice Requires="x14">
            <control shapeId="27728" r:id="rId8" name="Check Box 80">
              <controlPr defaultSize="0" autoFill="0" autoLine="0" autoPict="0">
                <anchor moveWithCells="1">
                  <from>
                    <xdr:col>2</xdr:col>
                    <xdr:colOff>355600</xdr:colOff>
                    <xdr:row>10</xdr:row>
                    <xdr:rowOff>38100</xdr:rowOff>
                  </from>
                  <to>
                    <xdr:col>2</xdr:col>
                    <xdr:colOff>596900</xdr:colOff>
                    <xdr:row>10</xdr:row>
                    <xdr:rowOff>203200</xdr:rowOff>
                  </to>
                </anchor>
              </controlPr>
            </control>
          </mc:Choice>
        </mc:AlternateContent>
        <mc:AlternateContent xmlns:mc="http://schemas.openxmlformats.org/markup-compatibility/2006">
          <mc:Choice Requires="x14">
            <control shapeId="27729" r:id="rId9" name="Check Box 81">
              <controlPr defaultSize="0" autoFill="0" autoLine="0" autoPict="0">
                <anchor moveWithCells="1">
                  <from>
                    <xdr:col>2</xdr:col>
                    <xdr:colOff>355600</xdr:colOff>
                    <xdr:row>12</xdr:row>
                    <xdr:rowOff>38100</xdr:rowOff>
                  </from>
                  <to>
                    <xdr:col>2</xdr:col>
                    <xdr:colOff>596900</xdr:colOff>
                    <xdr:row>12</xdr:row>
                    <xdr:rowOff>203200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DB877-1DA7-8645-BD8A-E5774BB5A0E1}">
  <sheetPr codeName="Sheet21"/>
  <dimension ref="A1:E16"/>
  <sheetViews>
    <sheetView zoomScale="75" zoomScaleNormal="75" workbookViewId="0">
      <selection activeCell="D1" sqref="D1:D1048576"/>
    </sheetView>
  </sheetViews>
  <sheetFormatPr baseColWidth="10" defaultRowHeight="18" x14ac:dyDescent="0.2"/>
  <cols>
    <col min="1" max="1" width="13.5" style="1" bestFit="1" customWidth="1"/>
    <col min="2" max="2" width="251.5" style="1" customWidth="1"/>
    <col min="3" max="3" width="10.83203125" style="1"/>
    <col min="4" max="4" width="9" style="1" hidden="1" customWidth="1"/>
    <col min="5" max="16384" width="10.83203125" style="1"/>
  </cols>
  <sheetData>
    <row r="1" spans="1:5" ht="23" x14ac:dyDescent="0.25">
      <c r="A1" s="148" t="s">
        <v>169</v>
      </c>
      <c r="B1" s="161"/>
      <c r="C1" s="162"/>
    </row>
    <row r="2" spans="1:5" ht="20" x14ac:dyDescent="0.2">
      <c r="A2" s="151" t="s">
        <v>161</v>
      </c>
      <c r="B2" s="152"/>
      <c r="C2" s="153"/>
    </row>
    <row r="3" spans="1:5" ht="20" x14ac:dyDescent="0.2">
      <c r="A3" s="151" t="s">
        <v>166</v>
      </c>
      <c r="B3" s="152"/>
      <c r="C3" s="153"/>
    </row>
    <row r="4" spans="1:5" x14ac:dyDescent="0.2">
      <c r="A4" s="39" t="s">
        <v>282</v>
      </c>
      <c r="B4" s="2" t="s">
        <v>281</v>
      </c>
      <c r="C4" s="3"/>
      <c r="D4" s="1" t="b">
        <v>0</v>
      </c>
      <c r="E4" s="1">
        <v>80.3</v>
      </c>
    </row>
    <row r="5" spans="1:5" x14ac:dyDescent="0.2">
      <c r="A5" s="39" t="s">
        <v>385</v>
      </c>
      <c r="B5" s="2" t="s">
        <v>384</v>
      </c>
      <c r="C5" s="3"/>
      <c r="D5" s="1" t="b">
        <v>0</v>
      </c>
      <c r="E5" s="1">
        <v>68</v>
      </c>
    </row>
    <row r="6" spans="1:5" ht="38" x14ac:dyDescent="0.2">
      <c r="A6" s="39" t="s">
        <v>477</v>
      </c>
      <c r="B6" s="23" t="s">
        <v>476</v>
      </c>
      <c r="C6" s="3"/>
      <c r="D6" s="1" t="b">
        <v>0</v>
      </c>
      <c r="E6" s="1">
        <v>42.2</v>
      </c>
    </row>
    <row r="7" spans="1:5" ht="19" x14ac:dyDescent="0.2">
      <c r="A7" s="39" t="s">
        <v>706</v>
      </c>
      <c r="B7" s="23" t="s">
        <v>705</v>
      </c>
      <c r="C7" s="3"/>
      <c r="D7" s="1" t="b">
        <v>0</v>
      </c>
      <c r="E7" s="1">
        <v>67.599999999999994</v>
      </c>
    </row>
    <row r="8" spans="1:5" x14ac:dyDescent="0.2">
      <c r="A8" s="163" t="s">
        <v>167</v>
      </c>
      <c r="B8" s="164"/>
      <c r="C8" s="165"/>
    </row>
    <row r="9" spans="1:5" x14ac:dyDescent="0.2">
      <c r="A9" s="2" t="s">
        <v>290</v>
      </c>
      <c r="B9" s="2" t="s">
        <v>289</v>
      </c>
      <c r="C9" s="2"/>
      <c r="D9" s="1" t="b">
        <v>0</v>
      </c>
      <c r="E9" s="1">
        <v>52.1</v>
      </c>
    </row>
    <row r="10" spans="1:5" x14ac:dyDescent="0.2">
      <c r="A10" s="2" t="s">
        <v>425</v>
      </c>
      <c r="B10" s="2" t="s">
        <v>424</v>
      </c>
      <c r="C10" s="2"/>
      <c r="D10" s="1" t="b">
        <v>0</v>
      </c>
      <c r="E10" s="1">
        <v>75.8</v>
      </c>
    </row>
    <row r="11" spans="1:5" x14ac:dyDescent="0.2">
      <c r="A11" s="2" t="s">
        <v>726</v>
      </c>
      <c r="B11" s="2" t="s">
        <v>725</v>
      </c>
      <c r="C11" s="2"/>
      <c r="D11" s="1" t="b">
        <v>0</v>
      </c>
      <c r="E11" s="1">
        <v>75.5</v>
      </c>
    </row>
    <row r="12" spans="1:5" ht="20" x14ac:dyDescent="0.2">
      <c r="A12" s="151" t="s">
        <v>168</v>
      </c>
      <c r="B12" s="152"/>
      <c r="C12" s="153"/>
    </row>
    <row r="14" spans="1:5" x14ac:dyDescent="0.2">
      <c r="A14" s="6" t="s">
        <v>762</v>
      </c>
      <c r="B14" s="7">
        <f>COUNTA(D2:D12)</f>
        <v>7</v>
      </c>
    </row>
    <row r="15" spans="1:5" x14ac:dyDescent="0.2">
      <c r="A15" s="6" t="s">
        <v>37</v>
      </c>
      <c r="B15" s="7">
        <f>COUNTIF(D2:D12, TRUE)</f>
        <v>0</v>
      </c>
    </row>
    <row r="16" spans="1:5" x14ac:dyDescent="0.2">
      <c r="A16" s="6" t="s">
        <v>38</v>
      </c>
      <c r="B16" s="11">
        <f>(B15/B14)*100</f>
        <v>0</v>
      </c>
    </row>
  </sheetData>
  <mergeCells count="5">
    <mergeCell ref="A1:C1"/>
    <mergeCell ref="A2:C2"/>
    <mergeCell ref="A12:C12"/>
    <mergeCell ref="A3:C3"/>
    <mergeCell ref="A8:C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748" r:id="rId3" name="Check Box 76">
              <controlPr defaultSize="0" autoFill="0" autoLine="0" autoPict="0">
                <anchor moveWithCells="1">
                  <from>
                    <xdr:col>2</xdr:col>
                    <xdr:colOff>317500</xdr:colOff>
                    <xdr:row>3</xdr:row>
                    <xdr:rowOff>50800</xdr:rowOff>
                  </from>
                  <to>
                    <xdr:col>2</xdr:col>
                    <xdr:colOff>622300</xdr:colOff>
                    <xdr:row>3</xdr:row>
                    <xdr:rowOff>203200</xdr:rowOff>
                  </to>
                </anchor>
              </controlPr>
            </control>
          </mc:Choice>
        </mc:AlternateContent>
        <mc:AlternateContent xmlns:mc="http://schemas.openxmlformats.org/markup-compatibility/2006">
          <mc:Choice Requires="x14">
            <control shapeId="28749" r:id="rId4" name="Check Box 77">
              <controlPr defaultSize="0" autoFill="0" autoLine="0" autoPict="0">
                <anchor moveWithCells="1">
                  <from>
                    <xdr:col>2</xdr:col>
                    <xdr:colOff>317500</xdr:colOff>
                    <xdr:row>4</xdr:row>
                    <xdr:rowOff>50800</xdr:rowOff>
                  </from>
                  <to>
                    <xdr:col>2</xdr:col>
                    <xdr:colOff>622300</xdr:colOff>
                    <xdr:row>4</xdr:row>
                    <xdr:rowOff>203200</xdr:rowOff>
                  </to>
                </anchor>
              </controlPr>
            </control>
          </mc:Choice>
        </mc:AlternateContent>
        <mc:AlternateContent xmlns:mc="http://schemas.openxmlformats.org/markup-compatibility/2006">
          <mc:Choice Requires="x14">
            <control shapeId="28750" r:id="rId5" name="Check Box 78">
              <controlPr defaultSize="0" autoFill="0" autoLine="0" autoPict="0">
                <anchor moveWithCells="1">
                  <from>
                    <xdr:col>2</xdr:col>
                    <xdr:colOff>317500</xdr:colOff>
                    <xdr:row>5</xdr:row>
                    <xdr:rowOff>50800</xdr:rowOff>
                  </from>
                  <to>
                    <xdr:col>2</xdr:col>
                    <xdr:colOff>622300</xdr:colOff>
                    <xdr:row>5</xdr:row>
                    <xdr:rowOff>203200</xdr:rowOff>
                  </to>
                </anchor>
              </controlPr>
            </control>
          </mc:Choice>
        </mc:AlternateContent>
        <mc:AlternateContent xmlns:mc="http://schemas.openxmlformats.org/markup-compatibility/2006">
          <mc:Choice Requires="x14">
            <control shapeId="28751" r:id="rId6" name="Check Box 79">
              <controlPr defaultSize="0" autoFill="0" autoLine="0" autoPict="0">
                <anchor moveWithCells="1">
                  <from>
                    <xdr:col>2</xdr:col>
                    <xdr:colOff>317500</xdr:colOff>
                    <xdr:row>6</xdr:row>
                    <xdr:rowOff>50800</xdr:rowOff>
                  </from>
                  <to>
                    <xdr:col>2</xdr:col>
                    <xdr:colOff>622300</xdr:colOff>
                    <xdr:row>6</xdr:row>
                    <xdr:rowOff>203200</xdr:rowOff>
                  </to>
                </anchor>
              </controlPr>
            </control>
          </mc:Choice>
        </mc:AlternateContent>
        <mc:AlternateContent xmlns:mc="http://schemas.openxmlformats.org/markup-compatibility/2006">
          <mc:Choice Requires="x14">
            <control shapeId="28752" r:id="rId7" name="Check Box 80">
              <controlPr defaultSize="0" autoFill="0" autoLine="0" autoPict="0">
                <anchor moveWithCells="1">
                  <from>
                    <xdr:col>2</xdr:col>
                    <xdr:colOff>317500</xdr:colOff>
                    <xdr:row>8</xdr:row>
                    <xdr:rowOff>50800</xdr:rowOff>
                  </from>
                  <to>
                    <xdr:col>2</xdr:col>
                    <xdr:colOff>622300</xdr:colOff>
                    <xdr:row>8</xdr:row>
                    <xdr:rowOff>203200</xdr:rowOff>
                  </to>
                </anchor>
              </controlPr>
            </control>
          </mc:Choice>
        </mc:AlternateContent>
        <mc:AlternateContent xmlns:mc="http://schemas.openxmlformats.org/markup-compatibility/2006">
          <mc:Choice Requires="x14">
            <control shapeId="28753" r:id="rId8" name="Check Box 81">
              <controlPr defaultSize="0" autoFill="0" autoLine="0" autoPict="0">
                <anchor moveWithCells="1">
                  <from>
                    <xdr:col>2</xdr:col>
                    <xdr:colOff>317500</xdr:colOff>
                    <xdr:row>9</xdr:row>
                    <xdr:rowOff>50800</xdr:rowOff>
                  </from>
                  <to>
                    <xdr:col>2</xdr:col>
                    <xdr:colOff>622300</xdr:colOff>
                    <xdr:row>9</xdr:row>
                    <xdr:rowOff>203200</xdr:rowOff>
                  </to>
                </anchor>
              </controlPr>
            </control>
          </mc:Choice>
        </mc:AlternateContent>
        <mc:AlternateContent xmlns:mc="http://schemas.openxmlformats.org/markup-compatibility/2006">
          <mc:Choice Requires="x14">
            <control shapeId="28754" r:id="rId9" name="Check Box 82">
              <controlPr defaultSize="0" autoFill="0" autoLine="0" autoPict="0">
                <anchor moveWithCells="1">
                  <from>
                    <xdr:col>2</xdr:col>
                    <xdr:colOff>317500</xdr:colOff>
                    <xdr:row>10</xdr:row>
                    <xdr:rowOff>50800</xdr:rowOff>
                  </from>
                  <to>
                    <xdr:col>2</xdr:col>
                    <xdr:colOff>622300</xdr:colOff>
                    <xdr:row>10</xdr:row>
                    <xdr:rowOff>203200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E3DD8-54E1-6E43-9508-E61FB1FB3716}">
  <sheetPr codeName="Sheet22"/>
  <dimension ref="A1:B32"/>
  <sheetViews>
    <sheetView workbookViewId="0">
      <selection activeCell="B39" sqref="B39"/>
    </sheetView>
  </sheetViews>
  <sheetFormatPr baseColWidth="10" defaultRowHeight="18" x14ac:dyDescent="0.2"/>
  <cols>
    <col min="1" max="1" width="18.1640625" style="1" bestFit="1" customWidth="1"/>
    <col min="2" max="2" width="183.6640625" style="1" customWidth="1"/>
    <col min="3" max="16384" width="10.83203125" style="1"/>
  </cols>
  <sheetData>
    <row r="1" spans="1:2" ht="19" thickBot="1" x14ac:dyDescent="0.25">
      <c r="A1" s="13" t="s">
        <v>20</v>
      </c>
      <c r="B1" s="34" t="s">
        <v>21</v>
      </c>
    </row>
    <row r="2" spans="1:2" x14ac:dyDescent="0.2">
      <c r="A2" s="15" t="s">
        <v>78</v>
      </c>
      <c r="B2" s="16" t="s">
        <v>79</v>
      </c>
    </row>
    <row r="3" spans="1:2" x14ac:dyDescent="0.2">
      <c r="A3" s="21"/>
      <c r="B3" s="18" t="s">
        <v>84</v>
      </c>
    </row>
    <row r="4" spans="1:2" ht="38" x14ac:dyDescent="0.2">
      <c r="A4" s="21"/>
      <c r="B4" s="33" t="s">
        <v>86</v>
      </c>
    </row>
    <row r="5" spans="1:2" x14ac:dyDescent="0.2">
      <c r="A5" s="21"/>
      <c r="B5" s="18" t="s">
        <v>85</v>
      </c>
    </row>
    <row r="6" spans="1:2" x14ac:dyDescent="0.2">
      <c r="A6" s="21"/>
      <c r="B6" s="18" t="s">
        <v>87</v>
      </c>
    </row>
    <row r="7" spans="1:2" x14ac:dyDescent="0.2">
      <c r="A7" s="21"/>
      <c r="B7" s="18" t="s">
        <v>88</v>
      </c>
    </row>
    <row r="8" spans="1:2" x14ac:dyDescent="0.2">
      <c r="A8" s="21"/>
      <c r="B8" s="18" t="s">
        <v>83</v>
      </c>
    </row>
    <row r="9" spans="1:2" ht="19" thickBot="1" x14ac:dyDescent="0.25">
      <c r="A9" s="26"/>
      <c r="B9" s="20" t="s">
        <v>80</v>
      </c>
    </row>
    <row r="10" spans="1:2" x14ac:dyDescent="0.2">
      <c r="A10" s="21" t="s">
        <v>22</v>
      </c>
      <c r="B10" s="18" t="s">
        <v>23</v>
      </c>
    </row>
    <row r="11" spans="1:2" x14ac:dyDescent="0.2">
      <c r="A11" s="17"/>
      <c r="B11" s="18" t="s">
        <v>24</v>
      </c>
    </row>
    <row r="12" spans="1:2" x14ac:dyDescent="0.2">
      <c r="A12" s="17"/>
      <c r="B12" s="18" t="s">
        <v>25</v>
      </c>
    </row>
    <row r="13" spans="1:2" x14ac:dyDescent="0.2">
      <c r="A13" s="17"/>
      <c r="B13" s="18" t="s">
        <v>26</v>
      </c>
    </row>
    <row r="14" spans="1:2" x14ac:dyDescent="0.2">
      <c r="A14" s="17"/>
      <c r="B14" s="18" t="s">
        <v>27</v>
      </c>
    </row>
    <row r="15" spans="1:2" x14ac:dyDescent="0.2">
      <c r="A15" s="17"/>
      <c r="B15" s="18" t="s">
        <v>28</v>
      </c>
    </row>
    <row r="16" spans="1:2" x14ac:dyDescent="0.2">
      <c r="A16" s="17"/>
      <c r="B16" s="18" t="s">
        <v>29</v>
      </c>
    </row>
    <row r="17" spans="1:2" x14ac:dyDescent="0.2">
      <c r="A17" s="17"/>
      <c r="B17" s="18" t="s">
        <v>30</v>
      </c>
    </row>
    <row r="18" spans="1:2" x14ac:dyDescent="0.2">
      <c r="A18" s="17"/>
      <c r="B18" s="18" t="s">
        <v>31</v>
      </c>
    </row>
    <row r="19" spans="1:2" x14ac:dyDescent="0.2">
      <c r="A19" s="17"/>
      <c r="B19" s="18" t="s">
        <v>32</v>
      </c>
    </row>
    <row r="20" spans="1:2" x14ac:dyDescent="0.2">
      <c r="A20" s="17"/>
      <c r="B20" s="18" t="s">
        <v>33</v>
      </c>
    </row>
    <row r="21" spans="1:2" x14ac:dyDescent="0.2">
      <c r="A21" s="17"/>
      <c r="B21" s="18" t="s">
        <v>34</v>
      </c>
    </row>
    <row r="22" spans="1:2" x14ac:dyDescent="0.2">
      <c r="A22" s="17"/>
      <c r="B22" s="18" t="s">
        <v>33</v>
      </c>
    </row>
    <row r="23" spans="1:2" x14ac:dyDescent="0.2">
      <c r="A23" s="17"/>
      <c r="B23" s="18" t="s">
        <v>35</v>
      </c>
    </row>
    <row r="24" spans="1:2" ht="19" thickBot="1" x14ac:dyDescent="0.25">
      <c r="A24" s="19"/>
      <c r="B24" s="20" t="s">
        <v>36</v>
      </c>
    </row>
    <row r="25" spans="1:2" ht="19" thickBot="1" x14ac:dyDescent="0.25">
      <c r="A25" s="13" t="s">
        <v>40</v>
      </c>
      <c r="B25" s="14" t="s">
        <v>39</v>
      </c>
    </row>
    <row r="26" spans="1:2" ht="19" thickBot="1" x14ac:dyDescent="0.25">
      <c r="A26" s="13" t="s">
        <v>42</v>
      </c>
      <c r="B26" s="14" t="s">
        <v>41</v>
      </c>
    </row>
    <row r="27" spans="1:2" x14ac:dyDescent="0.2">
      <c r="A27" s="15" t="s">
        <v>44</v>
      </c>
      <c r="B27" s="16" t="s">
        <v>43</v>
      </c>
    </row>
    <row r="28" spans="1:2" x14ac:dyDescent="0.2">
      <c r="A28" s="17"/>
      <c r="B28" s="18" t="s">
        <v>45</v>
      </c>
    </row>
    <row r="29" spans="1:2" ht="19" thickBot="1" x14ac:dyDescent="0.25">
      <c r="A29" s="19"/>
      <c r="B29" s="20" t="s">
        <v>46</v>
      </c>
    </row>
    <row r="30" spans="1:2" ht="19" thickBot="1" x14ac:dyDescent="0.25">
      <c r="A30" s="13" t="s">
        <v>48</v>
      </c>
      <c r="B30" s="14" t="s">
        <v>47</v>
      </c>
    </row>
    <row r="31" spans="1:2" ht="19" thickBot="1" x14ac:dyDescent="0.25">
      <c r="A31" s="13" t="s">
        <v>128</v>
      </c>
      <c r="B31" s="14" t="s">
        <v>129</v>
      </c>
    </row>
    <row r="32" spans="1:2" ht="19" thickBot="1" x14ac:dyDescent="0.25">
      <c r="A32" s="13" t="s">
        <v>154</v>
      </c>
      <c r="B32" s="14"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22</vt:i4>
      </vt:variant>
    </vt:vector>
  </HeadingPairs>
  <TitlesOfParts>
    <vt:vector size="22" baseType="lpstr">
      <vt:lpstr>Progress</vt:lpstr>
      <vt:lpstr>Airway Mx</vt:lpstr>
      <vt:lpstr>GA + Sedation</vt:lpstr>
      <vt:lpstr>Pain</vt:lpstr>
      <vt:lpstr>Periop Med</vt:lpstr>
      <vt:lpstr>Regional + LA</vt:lpstr>
      <vt:lpstr>Resus, Trauma and Crisis Mx</vt:lpstr>
      <vt:lpstr>Safety + Quality</vt:lpstr>
      <vt:lpstr>Roles in Practice</vt:lpstr>
      <vt:lpstr>Cardiac </vt:lpstr>
      <vt:lpstr>Gsurg+Uro+Gyn+Endo</vt:lpstr>
      <vt:lpstr>ENT+MF+Dent+ECT</vt:lpstr>
      <vt:lpstr>ICU</vt:lpstr>
      <vt:lpstr>NSurg+NRad</vt:lpstr>
      <vt:lpstr>OBS</vt:lpstr>
      <vt:lpstr>OPHTHAL</vt:lpstr>
      <vt:lpstr>ORTHO</vt:lpstr>
      <vt:lpstr>PAEDS</vt:lpstr>
      <vt:lpstr>Plastics+Burns</vt:lpstr>
      <vt:lpstr>Thoracics</vt:lpstr>
      <vt:lpstr>VASC+IntRad</vt:lpstr>
      <vt:lpstr>Professional documents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Scorer</dc:creator>
  <cp:lastModifiedBy>Adam Scorer</cp:lastModifiedBy>
  <dcterms:created xsi:type="dcterms:W3CDTF">2020-04-15T00:46:31Z</dcterms:created>
  <dcterms:modified xsi:type="dcterms:W3CDTF">2020-06-19T04:05:46Z</dcterms:modified>
</cp:coreProperties>
</file>